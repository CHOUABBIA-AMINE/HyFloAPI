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/>
  <mc:AlternateContent xmlns:mc="http://schemas.openxmlformats.org/markup-compatibility/2006">
    <mc:Choice Requires="x15">
      <x15ac:absPath xmlns:x15ac="http://schemas.microsoft.com/office/spreadsheetml/2010/11/ac" url="C:\Users\Administrateur\Desktop\"/>
    </mc:Choice>
  </mc:AlternateContent>
  <xr:revisionPtr revIDLastSave="0" documentId="13_ncr:1_{4D542B71-3FE2-4457-A7C4-CC91AD8E9FB4}" xr6:coauthVersionLast="47" xr6:coauthVersionMax="47" xr10:uidLastSave="{00000000-0000-0000-0000-000000000000}"/>
  <bookViews>
    <workbookView xWindow="-110" yWindow="-110" windowWidth="19420" windowHeight="10420" tabRatio="835" activeTab="2" xr2:uid="{00000000-000D-0000-FFFF-FFFF00000000}"/>
  </bookViews>
  <sheets>
    <sheet name="HyFloAPI" sheetId="19" r:id="rId1"/>
    <sheet name="Feuil1" sheetId="20" r:id="rId2"/>
    <sheet name="Feuil2" sheetId="21" r:id="rId3"/>
    <sheet name="Feuil7" sheetId="26" r:id="rId4"/>
    <sheet name="Feuil9" sheetId="28" r:id="rId5"/>
    <sheet name="Feuil8" sheetId="27" r:id="rId6"/>
    <sheet name="PIGAZ" sheetId="23" r:id="rId7"/>
    <sheet name="Commun Infrastructrure" sheetId="2" state="hidden" r:id="rId8"/>
    <sheet name="Equi broui tact" sheetId="3" state="hidden" r:id="rId9"/>
    <sheet name="Commutation Télépho" sheetId="4" state="hidden" r:id="rId10"/>
    <sheet name="Energie et Maintenance" sheetId="5" state="hidden" r:id="rId11"/>
    <sheet name="Travaux Téléphonique" sheetId="6" state="hidden" r:id="rId12"/>
    <sheet name="Pédagogique et Didactique" sheetId="7" state="hidden" r:id="rId13"/>
    <sheet name="Antenne Pylone" sheetId="8" state="hidden" r:id="rId14"/>
    <sheet name="Accessoir piles batterie" sheetId="9" state="hidden" r:id="rId15"/>
    <sheet name="Visioconférence" sheetId="10" state="hidden" r:id="rId16"/>
    <sheet name="Réseau Interconnexion à Fib " sheetId="11" state="hidden" r:id="rId17"/>
  </sheets>
  <definedNames>
    <definedName name="_xlnm._FilterDatabase" localSheetId="3" hidden="1">Feuil7!$A$1:$H$130</definedName>
    <definedName name="_xlnm._FilterDatabase" localSheetId="4" hidden="1">Feuil9!$A$1:$F$66</definedName>
    <definedName name="_xlnm._FilterDatabase" localSheetId="0" hidden="1">HyFloAPI!$A$2:$T$76</definedName>
    <definedName name="_xlnm._FilterDatabase" localSheetId="6" hidden="1">PIGAZ!$A$1:$M$74</definedName>
    <definedName name="aaaa" localSheetId="14">#REF!</definedName>
    <definedName name="aaaa" localSheetId="13">#REF!</definedName>
    <definedName name="aaaa" localSheetId="7">#REF!</definedName>
    <definedName name="aaaa" localSheetId="9">#REF!</definedName>
    <definedName name="aaaa" localSheetId="10">#REF!</definedName>
    <definedName name="aaaa" localSheetId="8">#REF!</definedName>
    <definedName name="aaaa" localSheetId="12">#REF!</definedName>
    <definedName name="aaaa" localSheetId="16">#REF!</definedName>
    <definedName name="aaaa" localSheetId="11">#REF!</definedName>
    <definedName name="aaaa" localSheetId="15">#REF!</definedName>
    <definedName name="aaaa">#REF!</definedName>
    <definedName name="b" localSheetId="14">#REF!</definedName>
    <definedName name="b" localSheetId="13">#REF!</definedName>
    <definedName name="b" localSheetId="7">#REF!</definedName>
    <definedName name="b" localSheetId="9">#REF!</definedName>
    <definedName name="b" localSheetId="10">#REF!</definedName>
    <definedName name="b" localSheetId="8">#REF!</definedName>
    <definedName name="b" localSheetId="12">#REF!</definedName>
    <definedName name="b" localSheetId="16">#REF!</definedName>
    <definedName name="b" localSheetId="11">#REF!</definedName>
    <definedName name="b" localSheetId="15">#REF!</definedName>
    <definedName name="b">#REF!</definedName>
    <definedName name="_xlnm.Database" localSheetId="14">#REF!</definedName>
    <definedName name="_xlnm.Database" localSheetId="13">#REF!</definedName>
    <definedName name="_xlnm.Database" localSheetId="7">#REF!</definedName>
    <definedName name="_xlnm.Database" localSheetId="9">#REF!</definedName>
    <definedName name="_xlnm.Database" localSheetId="10">#REF!</definedName>
    <definedName name="_xlnm.Database" localSheetId="8">#REF!</definedName>
    <definedName name="_xlnm.Database" localSheetId="12">#REF!</definedName>
    <definedName name="_xlnm.Database" localSheetId="16">#REF!</definedName>
    <definedName name="_xlnm.Database" localSheetId="11">#REF!</definedName>
    <definedName name="_xlnm.Database" localSheetId="15">#REF!</definedName>
    <definedName name="_xlnm.Database">#REF!</definedName>
    <definedName name="consolidation" localSheetId="9">#REF!</definedName>
    <definedName name="consolidation" localSheetId="8">#REF!</definedName>
    <definedName name="consolidation" localSheetId="16">#REF!</definedName>
    <definedName name="consolidation" localSheetId="15">#REF!</definedName>
    <definedName name="consolidation">#REF!</definedName>
    <definedName name="fvg" localSheetId="14">#REF!</definedName>
    <definedName name="fvg" localSheetId="9">#REF!</definedName>
    <definedName name="fvg" localSheetId="8">#REF!</definedName>
    <definedName name="fvg" localSheetId="16">#REF!</definedName>
    <definedName name="fvg" localSheetId="15">#REF!</definedName>
    <definedName name="fvg">#REF!</definedName>
    <definedName name="HTML_CodePage" hidden="1">1256</definedName>
    <definedName name="HTML_Control" localSheetId="14" hidden="1">{"'PLAN2002'!$B$1:$U$67","'PLAN2002'!$Q$46"}</definedName>
    <definedName name="HTML_Control" localSheetId="13" hidden="1">{"'PLAN2002'!$B$1:$U$67","'PLAN2002'!$Q$46"}</definedName>
    <definedName name="HTML_Control" localSheetId="7" hidden="1">{"'PLAN2002'!$B$1:$U$67","'PLAN2002'!$Q$46"}</definedName>
    <definedName name="HTML_Control" localSheetId="9" hidden="1">{"'PLAN2002'!$B$1:$U$67","'PLAN2002'!$Q$46"}</definedName>
    <definedName name="HTML_Control" localSheetId="10" hidden="1">{"'PLAN2002'!$B$1:$U$67","'PLAN2002'!$Q$46"}</definedName>
    <definedName name="HTML_Control" localSheetId="8" hidden="1">{"'PLAN2002'!$B$1:$U$67","'PLAN2002'!$Q$46"}</definedName>
    <definedName name="HTML_Control" localSheetId="12" hidden="1">{"'PLAN2002'!$B$1:$U$67","'PLAN2002'!$Q$46"}</definedName>
    <definedName name="HTML_Control" localSheetId="16" hidden="1">{"'PLAN2002'!$B$1:$U$67","'PLAN2002'!$Q$46"}</definedName>
    <definedName name="HTML_Control" localSheetId="11" hidden="1">{"'PLAN2002'!$B$1:$U$67","'PLAN2002'!$Q$46"}</definedName>
    <definedName name="HTML_Control" localSheetId="15" hidden="1">{"'PLAN2002'!$B$1:$U$67","'PLAN2002'!$Q$46"}</definedName>
    <definedName name="HTML_Control" hidden="1">{"'PLAN2002'!$B$1:$U$67","'PLAN2002'!$Q$46"}</definedName>
    <definedName name="HTML_Description" hidden="1">""</definedName>
    <definedName name="HTML_Email" hidden="1">""</definedName>
    <definedName name="HTML_Header" hidden="1">"PLAN2002"</definedName>
    <definedName name="HTML_LastUpdate" hidden="1">"18/04/04"</definedName>
    <definedName name="HTML_LineAfter" hidden="1">FALSE</definedName>
    <definedName name="HTML_LineBefore" hidden="1">FALSE</definedName>
    <definedName name="HTML_Name" hidden="1">"SDF"</definedName>
    <definedName name="HTML_OBDlg2" hidden="1">TRUE</definedName>
    <definedName name="HTML_OBDlg4" hidden="1">TRUE</definedName>
    <definedName name="HTML_OS" hidden="1">0</definedName>
    <definedName name="HTML_PathFile" hidden="1">"C:\WINDOWS\Desktop\APPL1\MyHTML.htm"</definedName>
    <definedName name="HTML_Title" hidden="1">"PLAN DE FORMATION 2002-2003"</definedName>
    <definedName name="_xlnm.Print_Area" localSheetId="14">'Accessoir piles batterie'!$A$1:$E$30</definedName>
    <definedName name="_xlnm.Print_Area" localSheetId="13">'Antenne Pylone'!$A$1:$E$4</definedName>
    <definedName name="_xlnm.Print_Area" localSheetId="7">'Commun Infrastructrure'!$A$1:$E$25</definedName>
    <definedName name="_xlnm.Print_Area" localSheetId="9">'Commutation Télépho'!$A$1:$E$63</definedName>
    <definedName name="_xlnm.Print_Area" localSheetId="10">'Energie et Maintenance'!$A$1:$E$43</definedName>
    <definedName name="_xlnm.Print_Area" localSheetId="8">'Equi broui tact'!$A$1:$E$3</definedName>
    <definedName name="_xlnm.Print_Area" localSheetId="12">'Pédagogique et Didactique'!$A$1:$E$13</definedName>
    <definedName name="_xlnm.Print_Area" localSheetId="16">'Réseau Interconnexion à Fib '!$A$1:$E$17</definedName>
    <definedName name="_xlnm.Print_Area" localSheetId="11">'Travaux Téléphonique'!$A$1:$E$4</definedName>
    <definedName name="_xlnm.Print_Area" localSheetId="15">Visioconférence!$A$1:$E$7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28" l="1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2" i="28"/>
  <c r="I47" i="19" l="1"/>
  <c r="I48" i="19"/>
  <c r="I20" i="19"/>
  <c r="I34" i="19"/>
  <c r="I45" i="19"/>
  <c r="I44" i="19"/>
  <c r="I43" i="19"/>
  <c r="I42" i="19"/>
  <c r="I22" i="19" l="1"/>
  <c r="I25" i="19"/>
  <c r="I26" i="19"/>
  <c r="I27" i="19"/>
  <c r="I16" i="19"/>
  <c r="I29" i="19"/>
  <c r="I30" i="19"/>
  <c r="I31" i="19"/>
  <c r="I21" i="19"/>
  <c r="I23" i="19"/>
  <c r="I32" i="19"/>
  <c r="I33" i="19"/>
  <c r="I24" i="19"/>
  <c r="I28" i="19"/>
  <c r="I35" i="19"/>
  <c r="I36" i="19"/>
  <c r="I37" i="19"/>
  <c r="I38" i="19"/>
  <c r="I39" i="19"/>
  <c r="I40" i="19"/>
  <c r="I41" i="19"/>
  <c r="I46" i="19"/>
  <c r="I12" i="19"/>
  <c r="I10" i="19" l="1"/>
  <c r="I4" i="19" l="1"/>
  <c r="I5" i="19"/>
  <c r="I6" i="19"/>
  <c r="I7" i="19"/>
  <c r="I8" i="19"/>
  <c r="I9" i="19"/>
  <c r="I3" i="19"/>
  <c r="I13" i="19"/>
  <c r="I14" i="19"/>
  <c r="I15" i="19"/>
  <c r="I11" i="19"/>
  <c r="I17" i="19"/>
  <c r="I18" i="19"/>
  <c r="I19" i="19"/>
  <c r="F15" i="11" l="1"/>
  <c r="F10" i="11"/>
  <c r="E7" i="10"/>
  <c r="E6" i="10"/>
  <c r="E5" i="10"/>
  <c r="E4" i="10"/>
  <c r="E3" i="10"/>
  <c r="E2" i="10"/>
  <c r="E1" i="10"/>
  <c r="E4" i="8"/>
  <c r="E3" i="8"/>
  <c r="E2" i="8"/>
  <c r="E1" i="8"/>
  <c r="E13" i="7"/>
  <c r="E12" i="7"/>
  <c r="E11" i="7"/>
  <c r="E10" i="7"/>
  <c r="E9" i="7"/>
  <c r="E8" i="7"/>
  <c r="E7" i="7"/>
  <c r="E6" i="7"/>
  <c r="E5" i="7"/>
  <c r="E4" i="7"/>
  <c r="E3" i="7"/>
  <c r="E2" i="7"/>
  <c r="E1" i="7"/>
  <c r="E3" i="6"/>
  <c r="D2" i="6"/>
  <c r="E1" i="6"/>
  <c r="E43" i="5"/>
  <c r="E42" i="5"/>
  <c r="E41" i="5"/>
  <c r="E40" i="5"/>
  <c r="E39" i="5"/>
  <c r="E38" i="5"/>
  <c r="E37" i="5"/>
  <c r="E36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1" i="5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1" i="4"/>
  <c r="E3" i="3"/>
  <c r="E1" i="3"/>
  <c r="E25" i="2"/>
  <c r="E24" i="2"/>
  <c r="E23" i="2"/>
  <c r="E22" i="2"/>
  <c r="E19" i="2"/>
  <c r="E18" i="2"/>
  <c r="E17" i="2"/>
  <c r="E16" i="2"/>
  <c r="E15" i="2"/>
  <c r="E14" i="2"/>
  <c r="E13" i="2"/>
  <c r="E12" i="2"/>
  <c r="E11" i="2"/>
  <c r="E10" i="2"/>
  <c r="E9" i="2"/>
  <c r="E7" i="2"/>
  <c r="E6" i="2"/>
  <c r="E5" i="2"/>
  <c r="E4" i="2"/>
  <c r="E3" i="2"/>
  <c r="E2" i="2"/>
  <c r="E1" i="2"/>
  <c r="F18" i="5" l="1"/>
  <c r="G45" i="4"/>
  <c r="G46" i="4"/>
  <c r="F17" i="5"/>
  <c r="F19" i="5" l="1"/>
  <c r="G4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BP</author>
  </authors>
  <commentList>
    <comment ref="B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BP:</t>
        </r>
        <r>
          <rPr>
            <sz val="9"/>
            <color indexed="81"/>
            <rFont val="Tahoma"/>
            <family val="2"/>
          </rPr>
          <t xml:space="preserve">
104 unités CGN
02 2024 DTSCC et 02 2026 DTSCC</t>
        </r>
      </text>
    </comment>
  </commentList>
</comments>
</file>

<file path=xl/sharedStrings.xml><?xml version="1.0" encoding="utf-8"?>
<sst xmlns="http://schemas.openxmlformats.org/spreadsheetml/2006/main" count="2427" uniqueCount="809">
  <si>
    <t>N°</t>
  </si>
  <si>
    <t>Station Radio de Communication par Satéllite Fixe et/ou Mobile</t>
  </si>
  <si>
    <t>VSAT/IP</t>
  </si>
  <si>
    <t>Mise à niveau du HUB Central dy Système V-SAT IP du MDN</t>
  </si>
  <si>
    <t>Réalisation d'un HUB redondant du Système V-SAT IP du MDN</t>
  </si>
  <si>
    <t>Station V-SAT IP in the move montée sur toyota V8</t>
  </si>
  <si>
    <t xml:space="preserve">Station thuraya IP marine </t>
  </si>
  <si>
    <t>Station Radio de Communication par Satéllite Transportable</t>
  </si>
  <si>
    <t>Poste Portatif de Communication par Satellite</t>
  </si>
  <si>
    <t>Terminaux de Données satéllitaires</t>
  </si>
  <si>
    <t>Récepteur GPS</t>
  </si>
  <si>
    <t>Station de Base</t>
  </si>
  <si>
    <t>Station Relais Fixe/ Mobile</t>
  </si>
  <si>
    <t>Station Relais Portable</t>
  </si>
  <si>
    <t>Poste Terminal Portatif</t>
  </si>
  <si>
    <t>Station mobile /Fixe</t>
  </si>
  <si>
    <t>Commutateur Numérique</t>
  </si>
  <si>
    <t>Reseaux/ Système Radio téléphonie</t>
  </si>
  <si>
    <t xml:space="preserve">Réseaux </t>
  </si>
  <si>
    <t>Consolidation du projet d'extension du réseau de radiotéléphonie sous la norme P25</t>
  </si>
  <si>
    <t>Licence AVL pour suivi GPS des terinaux TETRA</t>
  </si>
  <si>
    <t xml:space="preserve">lot </t>
  </si>
  <si>
    <t xml:space="preserve">Licence et Logiciel pour la mise à niveau du réseau </t>
  </si>
  <si>
    <t>lot</t>
  </si>
  <si>
    <t>Station FH Troposphérique d'Infrastructure Fixe/ Transportable</t>
  </si>
  <si>
    <t>Station FHN à Visibilité Directe d'infrastructure Fixe/ Transportable</t>
  </si>
  <si>
    <t>Station Radio Rurale</t>
  </si>
  <si>
    <t>Equipements de lien Numérique à visibilité Directe</t>
  </si>
  <si>
    <t xml:space="preserve">Brouilleurs de Fréquence Portable </t>
  </si>
  <si>
    <t>Brouilleurs de Fréquence Mobile</t>
  </si>
  <si>
    <t xml:space="preserve">Detecteur de Fréquences </t>
  </si>
  <si>
    <t>Autocommutateur Téléphonique GP Analogique/Numérique/IP</t>
  </si>
  <si>
    <t>Autocommutateur Téléphonique 3000D</t>
  </si>
  <si>
    <t>Autocommutateur Téléphonique 1000D</t>
  </si>
  <si>
    <t>Mise à jour autocommutateur MX-One</t>
  </si>
  <si>
    <t>Autocommutateur Téléphonique MC  Analogique/Numérique/IP</t>
  </si>
  <si>
    <t>Autocommutateur Téléphonique 500 D</t>
  </si>
  <si>
    <t>Autocommutateur Téléphonique 300 D</t>
  </si>
  <si>
    <t>Autocommutateur Téléphonique 200 D</t>
  </si>
  <si>
    <t xml:space="preserve">Lot portant mise à jour et extension de PABX </t>
  </si>
  <si>
    <t>Autocommutateur Téléphonique PC Analogique/Numérique/IP</t>
  </si>
  <si>
    <t>Autocommutateur Téléphonique 100 D</t>
  </si>
  <si>
    <t>Autocommutateur Téléphonique 50 D</t>
  </si>
  <si>
    <t>Autocommutateur de Transit Analogique/Numérique /IP</t>
  </si>
  <si>
    <t>Commuatteur de Messagerie Analogique/Numérique/IP</t>
  </si>
  <si>
    <t>Serveur de Messagerie Electronique</t>
  </si>
  <si>
    <t xml:space="preserve">Système Radio méssagerie Bipeur </t>
  </si>
  <si>
    <t>Système d'Intercommunication Analogique /Numérique/IP</t>
  </si>
  <si>
    <t xml:space="preserve">Extension du réseau téléphonique MX-ONE </t>
  </si>
  <si>
    <t>Système d'Intercommunication</t>
  </si>
  <si>
    <t>Réalisation d'un serveur Vocal Interactif</t>
  </si>
  <si>
    <t>Télécopieur</t>
  </si>
  <si>
    <t>Télé-imprimeur</t>
  </si>
  <si>
    <t>Terminal de Données Numériques/IP</t>
  </si>
  <si>
    <t>Appareil Téléphonique d'Infrastructure Analogique/Numérique/IP</t>
  </si>
  <si>
    <t>Apparei TPH IP-Phone</t>
  </si>
  <si>
    <t>Appareil Téléphonique d'infrastructure</t>
  </si>
  <si>
    <t>Appareil Téléphonique d'infrastructure analogique avec afficheur</t>
  </si>
  <si>
    <t>Appareil Téléphonique Numérique</t>
  </si>
  <si>
    <t>Appareil Téléphonique Visiophone</t>
  </si>
  <si>
    <t>Appareil Téléphonique Sans Fil</t>
  </si>
  <si>
    <t>Appareil Téléphonique DECT "GAP"</t>
  </si>
  <si>
    <t>Appareil Téléphonique Céllulaire "GSM"</t>
  </si>
  <si>
    <t>Tablette Avec/ Sans puce</t>
  </si>
  <si>
    <t>Système Parloire</t>
  </si>
  <si>
    <t>Equipements Passerelles Téléphoniques</t>
  </si>
  <si>
    <t>Centraux Téléphoniques de Campagne</t>
  </si>
  <si>
    <t>Centraux Téléphoniques de Campagne 100 D Numérique</t>
  </si>
  <si>
    <t>Centraux Téléphoniques de Campagne 50 D Numérique</t>
  </si>
  <si>
    <t>Centraux Téléphoniques de Campagne 40 D Numérique</t>
  </si>
  <si>
    <t>Centraux Téléphoniques de Campagne 20 D Numérique</t>
  </si>
  <si>
    <t>Centraux Téléphoniques de Campagne 10 D Numérique</t>
  </si>
  <si>
    <t xml:space="preserve">Appareil Téléphonique de Campagne </t>
  </si>
  <si>
    <t>Station Fibre Optique</t>
  </si>
  <si>
    <t>Equipement à fibres optiques OTN  2,5 Gbits/10GE</t>
  </si>
  <si>
    <t>Equipement à fibres optiques OTN  10 Gbits/40GE</t>
  </si>
  <si>
    <t>Equipement à fibres optiques OTN  622 Gbits/01GE</t>
  </si>
  <si>
    <t>Plateforme de multiplixage en longueur d'ondes : next génération dense wavelenghth division multiplixing (NGDWDM)</t>
  </si>
  <si>
    <t>Equipement Internet Protocol-Multi Protocol Label Switching (IP-MPLS)</t>
  </si>
  <si>
    <t xml:space="preserve">Gateway téléphoniques  </t>
  </si>
  <si>
    <t>Station Fibre Optique 622 Mbits</t>
  </si>
  <si>
    <t>Station Fibre Optique 155 Mbits SDH</t>
  </si>
  <si>
    <t>Equipements de ligne à Fibre Optique</t>
  </si>
  <si>
    <t>Equipement Transmissions ( Marché à Commande AT)</t>
  </si>
  <si>
    <t>Chambre de passage TPH</t>
  </si>
  <si>
    <t>Distrubition FO (ODF frame 576 CORE)</t>
  </si>
  <si>
    <t xml:space="preserve">Convertisseur  Fibre Optique </t>
  </si>
  <si>
    <t>Passerelle VOICE Over IP</t>
  </si>
  <si>
    <t>Multiplexeurs</t>
  </si>
  <si>
    <t>Routeur Optique</t>
  </si>
  <si>
    <t>Routeur de voix</t>
  </si>
  <si>
    <t xml:space="preserve">Routeur (Intégrateur TPH pour réseau tactique) </t>
  </si>
  <si>
    <t>Switch  Power over Ethernet</t>
  </si>
  <si>
    <t>Modem</t>
  </si>
  <si>
    <t>Chargeurs Solaires pour Moyens des Transmissions</t>
  </si>
  <si>
    <t>Onduleurs des Moyens des Transmissions</t>
  </si>
  <si>
    <t xml:space="preserve">Onduleur Rackable 19" </t>
  </si>
  <si>
    <t>Stabilisateur de tension</t>
  </si>
  <si>
    <t xml:space="preserve">Convertisseur de Tension Electrique </t>
  </si>
  <si>
    <t>Redresseur de Tension Electrique</t>
  </si>
  <si>
    <t>Kits de Mise à la Terre</t>
  </si>
  <si>
    <t>Moyens de Protection pour Equipements de Transmissions</t>
  </si>
  <si>
    <t>Système Paratonnerre</t>
  </si>
  <si>
    <t>Système Parafoudre</t>
  </si>
  <si>
    <t>Station de Charge et Entretien des Batteries des Moyens Transmissions</t>
  </si>
  <si>
    <t xml:space="preserve">Chargeur/Recycleur de batteries </t>
  </si>
  <si>
    <t>Atelier de Maintenance Transmissions Fixe</t>
  </si>
  <si>
    <t>Atelier  de maintenance Transmissions Mobile</t>
  </si>
  <si>
    <t>Equipements de Maintenance Transmissions pour Magazin pièce de Rechange Mobile</t>
  </si>
  <si>
    <t xml:space="preserve">Valise, Caisse d'outillage d'Intervention Transmissions </t>
  </si>
  <si>
    <t>lot d'agent</t>
  </si>
  <si>
    <t>lot d'équipe</t>
  </si>
  <si>
    <t>Bobine DR8</t>
  </si>
  <si>
    <t>Bobine DRL31</t>
  </si>
  <si>
    <t>Valise technicien Fil</t>
  </si>
  <si>
    <t>Valise technicien Radio</t>
  </si>
  <si>
    <t>Valise electronicien</t>
  </si>
  <si>
    <t>Valise technicien commutation</t>
  </si>
  <si>
    <t>Valise electromécanicien</t>
  </si>
  <si>
    <t xml:space="preserve">Equipements et Accéssoires de Métrologie </t>
  </si>
  <si>
    <t>Equipements de mesures et lot de programmation Radi HF Harris</t>
  </si>
  <si>
    <t>Equipements de métrologie</t>
  </si>
  <si>
    <t>Lot de programmation pour Rdio VHF Tactique</t>
  </si>
  <si>
    <t>Table de travail Radio</t>
  </si>
  <si>
    <t xml:space="preserve">Table de travail de commutation </t>
  </si>
  <si>
    <t xml:space="preserve">Table de travail Energie </t>
  </si>
  <si>
    <t>Table de Maintenance équipé de Moyens d'énergie</t>
  </si>
  <si>
    <t>Testeur de Batterie</t>
  </si>
  <si>
    <t>Appareil de mesure de la résistance de mise à la terre</t>
  </si>
  <si>
    <t>Détecteur de Câble à Fibre Optique</t>
  </si>
  <si>
    <t>Traceur de Càble à Fibre Optique</t>
  </si>
  <si>
    <t>Testeur de Ligne Téléphonique</t>
  </si>
  <si>
    <t>Traceur de Câble Téléphonique</t>
  </si>
  <si>
    <t>Station de Soudage /Désoudage à air Chaud</t>
  </si>
  <si>
    <t>Station de Prototypage pour Circuit Imprimé</t>
  </si>
  <si>
    <t>Kit de Grimpeur de Pylônes des Sites Relais</t>
  </si>
  <si>
    <t xml:space="preserve">Lot d'équipement et accéssoires de métrologie </t>
  </si>
  <si>
    <t>Station de Soufflage de Cable</t>
  </si>
  <si>
    <t>Soudouse de Cable à Fibre Optique</t>
  </si>
  <si>
    <t>Station Torpie pour Traverse de Route</t>
  </si>
  <si>
    <t xml:space="preserve">Manchons de Raccordement Fibres optiques </t>
  </si>
  <si>
    <t>Lot</t>
  </si>
  <si>
    <t>Simulateur Transmission</t>
  </si>
  <si>
    <t>Laboratoire de Langue</t>
  </si>
  <si>
    <t>Laboratoire de lecteur Son (Morse)</t>
  </si>
  <si>
    <t>Laboratoire Scientifique (Pedagogique et Didactique)</t>
  </si>
  <si>
    <t xml:space="preserve">Laboratoire scientifique </t>
  </si>
  <si>
    <t>Laboratoire de reconnaissance radio électronique</t>
  </si>
  <si>
    <t xml:space="preserve">Laboratoire de brouillage radio électronique </t>
  </si>
  <si>
    <t>Laboratoire de protection radio électronique</t>
  </si>
  <si>
    <t>Laboratoire électronique deds systèmes d'armes et systèmes embarqués</t>
  </si>
  <si>
    <t>Laboratoire prototypage des circuits imprimés</t>
  </si>
  <si>
    <t xml:space="preserve">laboratoire analyseur des réseaux véctoriels avec accessoires  </t>
  </si>
  <si>
    <t xml:space="preserve">Plateforme expérimentale d'un microreseau </t>
  </si>
  <si>
    <t>Système d'Enseingnement Assisté par ordinateur</t>
  </si>
  <si>
    <t xml:space="preserve">Antenne </t>
  </si>
  <si>
    <t>Pylon Telecom</t>
  </si>
  <si>
    <t>Système de Balisage Nocturne de Pylone et Accessoires</t>
  </si>
  <si>
    <t>Schelter Telecom</t>
  </si>
  <si>
    <t>Unité Collective Radio HF</t>
  </si>
  <si>
    <t>Unité Collective Radio VHF</t>
  </si>
  <si>
    <t>Unité Collective Radio V/UHF sol-Air</t>
  </si>
  <si>
    <t xml:space="preserve">Unité Collective Reception  Radio </t>
  </si>
  <si>
    <t>Unité Collective FH</t>
  </si>
  <si>
    <t xml:space="preserve">Unité Collective Radio par Satéllite </t>
  </si>
  <si>
    <t>Unité Collective Radio Téléphonique</t>
  </si>
  <si>
    <t>Unité Collective Commutation d'Infrastructure</t>
  </si>
  <si>
    <t>Unité Collective Commutation de Campagne</t>
  </si>
  <si>
    <t>Unité Collective Commutation Energie</t>
  </si>
  <si>
    <t>Cables Coax, Connectique et Accessoires</t>
  </si>
  <si>
    <t>Accessoires Unité Collective Brouilleur de Fréquence Mobile/Portable</t>
  </si>
  <si>
    <t>Accessoires Unité Collective Brouilleur de Fréquence Grand public</t>
  </si>
  <si>
    <t>Batteries</t>
  </si>
  <si>
    <t>Piles</t>
  </si>
  <si>
    <t>Accessoires d'Installation Fibres Optiques et Téléphonique</t>
  </si>
  <si>
    <t xml:space="preserve">Accesoires et Raccordement Fibres Optiques et Téléphoniques </t>
  </si>
  <si>
    <t>Accessoires de Monteur de Ligne</t>
  </si>
  <si>
    <t>Connectiques</t>
  </si>
  <si>
    <t>9.4- Consommable Fax TTY</t>
  </si>
  <si>
    <t>Equipements et Outillage Mécanique</t>
  </si>
  <si>
    <t>Equipements et Outillage Electrique</t>
  </si>
  <si>
    <t>Equipements et Outillage Electronique</t>
  </si>
  <si>
    <t>Equipements et Outillage Téléphonique</t>
  </si>
  <si>
    <t>Cable Téléphonique Multipaires</t>
  </si>
  <si>
    <t>Cable à Fibre Optique</t>
  </si>
  <si>
    <t>Cable FTP</t>
  </si>
  <si>
    <t>Cable Téléphonique de Campagne</t>
  </si>
  <si>
    <t>Câble Electriques</t>
  </si>
  <si>
    <t>Fil Emaillé</t>
  </si>
  <si>
    <t>Système de Visioconférence</t>
  </si>
  <si>
    <t xml:space="preserve">Réalisation d'une solution de visioconférence dotée des moyens multimédia et moyens d'archivage </t>
  </si>
  <si>
    <t>Système de Visioconférence Fixe</t>
  </si>
  <si>
    <t>Système de Visioconférence Portable</t>
  </si>
  <si>
    <t>Terminaux de Visioconférence</t>
  </si>
  <si>
    <t>Codec</t>
  </si>
  <si>
    <t>Equipement et Accessoires de Systèmes de Visioconférence</t>
  </si>
  <si>
    <t>Changement du support des liens 2Mb/s du cuivre vers la fibre optique CGN</t>
  </si>
  <si>
    <t>Réalisation et rénovation du réseau tph interne des unités du CGN</t>
  </si>
  <si>
    <t>Réseaux d'Interconnexion interne et extérne des Unités CFT</t>
  </si>
  <si>
    <t>Réseaux d'Interconnexion interne et extérne des Unités CFN</t>
  </si>
  <si>
    <t>Réseaux d'Interconnexion interne et extérne des Unités CFA</t>
  </si>
  <si>
    <t>Réseaux d'Interconnexion interne et extérne des Unités CFDAT</t>
  </si>
  <si>
    <t>Réseaux d'Interconnexion interne et extérne des Unités CGR</t>
  </si>
  <si>
    <t>Réseaux d'Interconnexion interne et extérne des Unités DCSSM</t>
  </si>
  <si>
    <t>Réseaux d'Interconnexion interne et extérne des Unités  DCM</t>
  </si>
  <si>
    <t>Réseaux d'Interconnexion interne et extérneu des unités du DCC</t>
  </si>
  <si>
    <t>Réseaux d'Interconnexion interne et extérneu des unités du DCNSI</t>
  </si>
  <si>
    <t>Réseaux d'Interconnexion interne et extérneu des unités du DCI</t>
  </si>
  <si>
    <t>Réseaux d'Interconnexion interne et extérneu des unités du DJM</t>
  </si>
  <si>
    <t>Réseaux d'Interconnexion interne et extérneu des unités du DSN</t>
  </si>
  <si>
    <t>Réseaux d'Interconnexion interne et extérneu des unités du DGRT</t>
  </si>
  <si>
    <t>Réseaux d'Interconnexion interne et extérneu des unités du DGSI</t>
  </si>
  <si>
    <t>Réseaux d'Interconnexion interne et extérneu des unités du DTSCC</t>
  </si>
  <si>
    <t>Name</t>
  </si>
  <si>
    <t>Code</t>
  </si>
  <si>
    <t>Package</t>
  </si>
  <si>
    <t>Sub-Package</t>
  </si>
  <si>
    <t>common</t>
  </si>
  <si>
    <t>Country</t>
  </si>
  <si>
    <t>State</t>
  </si>
  <si>
    <t>Locality</t>
  </si>
  <si>
    <t>Structure</t>
  </si>
  <si>
    <t>StructureType</t>
  </si>
  <si>
    <t>Job</t>
  </si>
  <si>
    <t>Employee</t>
  </si>
  <si>
    <t>Person</t>
  </si>
  <si>
    <t>utility</t>
  </si>
  <si>
    <t>File</t>
  </si>
  <si>
    <t>security</t>
  </si>
  <si>
    <t>audit</t>
  </si>
  <si>
    <t>Group</t>
  </si>
  <si>
    <t>User</t>
  </si>
  <si>
    <t>Role</t>
  </si>
  <si>
    <t>Permission</t>
  </si>
  <si>
    <t>Authority</t>
  </si>
  <si>
    <t>Data Type</t>
  </si>
  <si>
    <t>Dynamic</t>
  </si>
  <si>
    <t>Static</t>
  </si>
  <si>
    <t>Schema</t>
  </si>
  <si>
    <t>Data</t>
  </si>
  <si>
    <t>system</t>
  </si>
  <si>
    <t>core</t>
  </si>
  <si>
    <t>Model</t>
  </si>
  <si>
    <t>DTO</t>
  </si>
  <si>
    <t>Repository</t>
  </si>
  <si>
    <t>Service</t>
  </si>
  <si>
    <t>Controller</t>
  </si>
  <si>
    <t>Entity</t>
  </si>
  <si>
    <t>UI</t>
  </si>
  <si>
    <t>Frontend (React - Type Script)</t>
  </si>
  <si>
    <t>Backend (Spring - Java)</t>
  </si>
  <si>
    <t>DB</t>
  </si>
  <si>
    <t>authentication</t>
  </si>
  <si>
    <t>RefreshToken</t>
  </si>
  <si>
    <t>network</t>
  </si>
  <si>
    <t>Zone</t>
  </si>
  <si>
    <t>Location</t>
  </si>
  <si>
    <t>Product</t>
  </si>
  <si>
    <t>OperationnalStatus</t>
  </si>
  <si>
    <t>Alloy</t>
  </si>
  <si>
    <t>FacilityType</t>
  </si>
  <si>
    <t>EquipmentType</t>
  </si>
  <si>
    <t>Infrastructure</t>
  </si>
  <si>
    <t>Facility</t>
  </si>
  <si>
    <t>Station</t>
  </si>
  <si>
    <t>Terminal</t>
  </si>
  <si>
    <t>HydrocarbonField</t>
  </si>
  <si>
    <t>PipelineSystem</t>
  </si>
  <si>
    <t>Pipeline</t>
  </si>
  <si>
    <t>PipelineSegment</t>
  </si>
  <si>
    <t>Equipment</t>
  </si>
  <si>
    <t>Vendor</t>
  </si>
  <si>
    <t>fournisseur</t>
  </si>
  <si>
    <t>Partenaire</t>
  </si>
  <si>
    <t>CompanyType</t>
  </si>
  <si>
    <t>VendorType</t>
  </si>
  <si>
    <t>StationType</t>
  </si>
  <si>
    <t>TerminalType</t>
  </si>
  <si>
    <t>HydrocarbonFieldType</t>
  </si>
  <si>
    <t>PartnerType</t>
  </si>
  <si>
    <t>type</t>
  </si>
  <si>
    <t>Partner</t>
  </si>
  <si>
    <t>Audited</t>
  </si>
  <si>
    <t>Test</t>
  </si>
  <si>
    <t>flow</t>
  </si>
  <si>
    <t>FlowVolume</t>
  </si>
  <si>
    <t>MeasurementHour</t>
  </si>
  <si>
    <t>FlowPressure</t>
  </si>
  <si>
    <t>FlowTransported</t>
  </si>
  <si>
    <t>organization</t>
  </si>
  <si>
    <t>localization</t>
  </si>
  <si>
    <t>general</t>
  </si>
  <si>
    <t>FlowProduced</t>
  </si>
  <si>
    <t>FlowConsumed</t>
  </si>
  <si>
    <t>GZ0</t>
  </si>
  <si>
    <t>GZ1</t>
  </si>
  <si>
    <t>GZ2</t>
  </si>
  <si>
    <t>GZ3</t>
  </si>
  <si>
    <t>GZ4</t>
  </si>
  <si>
    <t>GZ5</t>
  </si>
  <si>
    <t>GR1</t>
  </si>
  <si>
    <t>GR2</t>
  </si>
  <si>
    <t>GR3</t>
  </si>
  <si>
    <t>GR4</t>
  </si>
  <si>
    <t>GR5</t>
  </si>
  <si>
    <t>GR6</t>
  </si>
  <si>
    <t>GR7</t>
  </si>
  <si>
    <t>GK1</t>
  </si>
  <si>
    <t>GK2</t>
  </si>
  <si>
    <t>GK3</t>
  </si>
  <si>
    <t>GG1</t>
  </si>
  <si>
    <t>RGZ2</t>
  </si>
  <si>
    <t>RGZ3</t>
  </si>
  <si>
    <t>RGG1</t>
  </si>
  <si>
    <t>GM1</t>
  </si>
  <si>
    <t>GO1</t>
  </si>
  <si>
    <t>GO2</t>
  </si>
  <si>
    <t>GO3</t>
  </si>
  <si>
    <t>MEDGAZ</t>
  </si>
  <si>
    <t>GPDF</t>
  </si>
  <si>
    <t>EGPDF</t>
  </si>
  <si>
    <t>OZ1</t>
  </si>
  <si>
    <t>OZ2</t>
  </si>
  <si>
    <t>OH1</t>
  </si>
  <si>
    <t>OH2</t>
  </si>
  <si>
    <t>OH3</t>
  </si>
  <si>
    <t>OD1</t>
  </si>
  <si>
    <t>OD2</t>
  </si>
  <si>
    <t>OD3</t>
  </si>
  <si>
    <t>OH4</t>
  </si>
  <si>
    <t>OK1</t>
  </si>
  <si>
    <t>OB1</t>
  </si>
  <si>
    <t>OT1</t>
  </si>
  <si>
    <t>OG1</t>
  </si>
  <si>
    <t>ROB1</t>
  </si>
  <si>
    <t>ROD1</t>
  </si>
  <si>
    <t>ROH1</t>
  </si>
  <si>
    <t>LZ1</t>
  </si>
  <si>
    <t>LZ2</t>
  </si>
  <si>
    <t>LNZ1</t>
  </si>
  <si>
    <t>LR1</t>
  </si>
  <si>
    <t>DLR1</t>
  </si>
  <si>
    <t>ELR1</t>
  </si>
  <si>
    <t>NZ1</t>
  </si>
  <si>
    <t>NH2</t>
  </si>
  <si>
    <t>NK1</t>
  </si>
  <si>
    <t>GL1Z</t>
  </si>
  <si>
    <t>GL2Z</t>
  </si>
  <si>
    <t>GL3Z</t>
  </si>
  <si>
    <t>GL1K</t>
  </si>
  <si>
    <t>GP1Z</t>
  </si>
  <si>
    <t>GP2Z</t>
  </si>
  <si>
    <t>RA1G</t>
  </si>
  <si>
    <t>RA1Z</t>
  </si>
  <si>
    <t>RHM2</t>
  </si>
  <si>
    <t>RA1K</t>
  </si>
  <si>
    <t>RA2K</t>
  </si>
  <si>
    <t>RA1D</t>
  </si>
  <si>
    <t>CP1Z</t>
  </si>
  <si>
    <t>CP2K</t>
  </si>
  <si>
    <t>AOA</t>
  </si>
  <si>
    <t>SORFERT</t>
  </si>
  <si>
    <t>LNG Complex</t>
  </si>
  <si>
    <t>Oran</t>
  </si>
  <si>
    <t>Main LNG train; Bethioua LNG terminal</t>
  </si>
  <si>
    <t>Second LNG train; same Bethioua complex as GL1Z</t>
  </si>
  <si>
    <t>Third LNG train; same Bethioua complex as GL1Z/GL2Z</t>
  </si>
  <si>
    <t>Skikda</t>
  </si>
  <si>
    <t>LNG liquefaction plant; Mediterranean coast</t>
  </si>
  <si>
    <t>LPG Plant</t>
  </si>
  <si>
    <t>World's largest LPG production facility; Arzew industrial zone</t>
  </si>
  <si>
    <t>LPG separation unit; same Arzew industrial zone as GP1Z</t>
  </si>
  <si>
    <t>Crude oil refinery; Skikda refining platform</t>
  </si>
  <si>
    <t>Condensate refinery; same Skikda complex as RA1K</t>
  </si>
  <si>
    <t>Refinery</t>
  </si>
  <si>
    <t>Algiers</t>
  </si>
  <si>
    <t>Algiers refining platform; original refinery</t>
  </si>
  <si>
    <t>Arzew refinery; major refining complex on Mediterranean coast</t>
  </si>
  <si>
    <t>Adrar</t>
  </si>
  <si>
    <t>Adrar refinery (RA1D); Sebaâ industrial zone, 50 km from Adrar city</t>
  </si>
  <si>
    <t>Hassi Messaoud</t>
  </si>
  <si>
    <t>Ouargla</t>
  </si>
  <si>
    <t>Saharan refinery; Hassi Messaoud oilfield region</t>
  </si>
  <si>
    <t>Condensate Plant</t>
  </si>
  <si>
    <t>Condensate stabilization unit; Arzew industrial plateau, ~2 km NE of RA1Z</t>
  </si>
  <si>
    <t>Condensate plant; same Skikda refining complex as RA1K/RA2K</t>
  </si>
  <si>
    <t>Ammonia/Urea Plant</t>
  </si>
  <si>
    <t>Ammonia and urea fertilizer; Bethioua industrial zone, precise coordinates</t>
  </si>
  <si>
    <t>Ammonia/Oxygenate Unit</t>
  </si>
  <si>
    <t>Arzew</t>
  </si>
  <si>
    <t>Ammonia/oxygenate production; Arzew industrial zone</t>
  </si>
  <si>
    <t>Facility Code</t>
  </si>
  <si>
    <t>Facility Type</t>
  </si>
  <si>
    <t>City</t>
  </si>
  <si>
    <t>Latitude (°N)</t>
  </si>
  <si>
    <t>Longitude (°E/W)</t>
  </si>
  <si>
    <t>Elevation (m)</t>
  </si>
  <si>
    <t>Province</t>
  </si>
  <si>
    <t>Notes</t>
  </si>
  <si>
    <t>Industrial energy port east of Oran; serves Arzew/Bethioua LNG, LPG, refineries and Sorfert.turkkraft+3​</t>
  </si>
  <si>
    <t>36.8854</t>
  </si>
  <si>
    <t>Main petroleum port in eastern Algeria; attached to Skikda refinery and LNG terminal.turkkraft+2​</t>
  </si>
  <si>
    <t>36.7509</t>
  </si>
  <si>
    <t>5.0586</t>
  </si>
  <si>
    <t>Important oil-loading and bulk port on central-north coast.turkkraft+1​</t>
  </si>
  <si>
    <t>Béjaïa</t>
  </si>
  <si>
    <t>DZSKI</t>
  </si>
  <si>
    <t>DZAZW</t>
  </si>
  <si>
    <t>DZBJA</t>
  </si>
  <si>
    <t>Export port</t>
  </si>
  <si>
    <t>Longitude</t>
  </si>
  <si>
    <t>Latitude</t>
  </si>
  <si>
    <t>6.0710</t>
  </si>
  <si>
    <t>31.9410</t>
  </si>
  <si>
    <t>Haoud El Hamra</t>
  </si>
  <si>
    <t>5.3310</t>
  </si>
  <si>
    <t>31.9510</t>
  </si>
  <si>
    <t>3.7478</t>
  </si>
  <si>
    <t>32.4775</t>
  </si>
  <si>
    <t>Al Atteuf</t>
  </si>
  <si>
    <t>3.2684</t>
  </si>
  <si>
    <t>32.9350</t>
  </si>
  <si>
    <t>Hassi R'mel</t>
  </si>
  <si>
    <t>3.9210</t>
  </si>
  <si>
    <t>33.9520</t>
  </si>
  <si>
    <t>Milok</t>
  </si>
  <si>
    <t>Milek</t>
  </si>
  <si>
    <t>1.3250</t>
  </si>
  <si>
    <t>35.3720</t>
  </si>
  <si>
    <t>Djebila</t>
  </si>
  <si>
    <t>-0.3445</t>
  </si>
  <si>
    <t>Kenanda</t>
  </si>
  <si>
    <t>SP1-OZ1</t>
  </si>
  <si>
    <t>SP1-OZ2</t>
  </si>
  <si>
    <t>SP2-OZ1</t>
  </si>
  <si>
    <t>SP2-OZ2</t>
  </si>
  <si>
    <t>Bejaia</t>
  </si>
  <si>
    <t>PRS-OZ1</t>
  </si>
  <si>
    <t>PRS-OZ2</t>
  </si>
  <si>
    <t>W_Code</t>
  </si>
  <si>
    <t>Puping Station</t>
  </si>
  <si>
    <t>0.5560</t>
  </si>
  <si>
    <t>35.7373</t>
  </si>
  <si>
    <t>35.80539</t>
  </si>
  <si>
    <t>-0.24097</t>
  </si>
  <si>
    <t>36.8767</t>
  </si>
  <si>
    <t>6.9056</t>
  </si>
  <si>
    <t>35.8619</t>
  </si>
  <si>
    <t>36.7539</t>
  </si>
  <si>
    <t>3.0588</t>
  </si>
  <si>
    <t>35.82992</t>
  </si>
  <si>
    <t>-0.32427</t>
  </si>
  <si>
    <t>31.6295</t>
  </si>
  <si>
    <t>6.19</t>
  </si>
  <si>
    <t>36.8654</t>
  </si>
  <si>
    <t>6.92</t>
  </si>
  <si>
    <t>28.21028</t>
  </si>
  <si>
    <t>-0.15627</t>
  </si>
  <si>
    <t>35.863</t>
  </si>
  <si>
    <t>-0.331</t>
  </si>
  <si>
    <t>35.80739</t>
  </si>
  <si>
    <t>-0.34313</t>
  </si>
  <si>
    <t>35.8349</t>
  </si>
  <si>
    <t>-0.2384</t>
  </si>
  <si>
    <t>6.924</t>
  </si>
  <si>
    <t>Ghardaia</t>
  </si>
  <si>
    <t>Lagouat</t>
  </si>
  <si>
    <t>Tiaret</t>
  </si>
  <si>
    <t>Ghilizane</t>
  </si>
  <si>
    <t>SP1-OK1</t>
  </si>
  <si>
    <t>SP1-OK1-NEW</t>
  </si>
  <si>
    <t>SP2-OK1</t>
  </si>
  <si>
    <t>5.9304</t>
  </si>
  <si>
    <t>33.9327</t>
  </si>
  <si>
    <t>Djamaa</t>
  </si>
  <si>
    <t>El Meghaïer</t>
  </si>
  <si>
    <t>SP3-OK1</t>
  </si>
  <si>
    <t>34.8333</t>
  </si>
  <si>
    <t>Tolga</t>
  </si>
  <si>
    <t>SP3-OK1-BIS</t>
  </si>
  <si>
    <t>SP4-OK1</t>
  </si>
  <si>
    <t>5.5932</t>
  </si>
  <si>
    <t>35.5566</t>
  </si>
  <si>
    <t>N'Gaous</t>
  </si>
  <si>
    <t>Biskra</t>
  </si>
  <si>
    <t>Batna</t>
  </si>
  <si>
    <t>SP1-OB1</t>
  </si>
  <si>
    <t>SP1-OB1-BIS</t>
  </si>
  <si>
    <t>SP2-OB1</t>
  </si>
  <si>
    <t>5.5952</t>
  </si>
  <si>
    <t>35.0341</t>
  </si>
  <si>
    <t>Ferme Omar Driss</t>
  </si>
  <si>
    <t>El Outaya</t>
  </si>
  <si>
    <t>SP3-OB1</t>
  </si>
  <si>
    <t>4.5233</t>
  </si>
  <si>
    <t>35.7186</t>
  </si>
  <si>
    <t>M'Sila</t>
  </si>
  <si>
    <t>BIS-SP1-OG1</t>
  </si>
  <si>
    <t>4.3559</t>
  </si>
  <si>
    <t>36.3361</t>
  </si>
  <si>
    <t>Béni Mansour</t>
  </si>
  <si>
    <t>Bouira</t>
  </si>
  <si>
    <t>SP1-OT1</t>
  </si>
  <si>
    <t>9.543056</t>
  </si>
  <si>
    <t>28.040833</t>
  </si>
  <si>
    <t>In Amenas</t>
  </si>
  <si>
    <t>SP2-OT1</t>
  </si>
  <si>
    <t>9.422346</t>
  </si>
  <si>
    <t>29.967215</t>
  </si>
  <si>
    <t>Deb Deb</t>
  </si>
  <si>
    <t>Illizi</t>
  </si>
  <si>
    <t>SP1-OH1</t>
  </si>
  <si>
    <t>SP2-OH1</t>
  </si>
  <si>
    <t>8.500000</t>
  </si>
  <si>
    <t>27.000000</t>
  </si>
  <si>
    <t>Mederba</t>
  </si>
  <si>
    <t>Ohanet</t>
  </si>
  <si>
    <t>SP3-OH1</t>
  </si>
  <si>
    <t>6.415500</t>
  </si>
  <si>
    <t>30.271400</t>
  </si>
  <si>
    <t>Gassi Touil</t>
  </si>
  <si>
    <t>8.133856</t>
  </si>
  <si>
    <t>31.006256</t>
  </si>
  <si>
    <t>El Borma</t>
  </si>
  <si>
    <t>6.794440</t>
  </si>
  <si>
    <t>31.192270</t>
  </si>
  <si>
    <t>Mesdar</t>
  </si>
  <si>
    <t>SP1-OD1</t>
  </si>
  <si>
    <t>SP1-OH2</t>
  </si>
  <si>
    <t>SP1-OH3OH4</t>
  </si>
  <si>
    <t>5.45310</t>
  </si>
  <si>
    <t>30.55880</t>
  </si>
  <si>
    <t>Hassi Berkine</t>
  </si>
  <si>
    <t>SP2-OH3OH4</t>
  </si>
  <si>
    <t>6.05139</t>
  </si>
  <si>
    <t>33.08333</t>
  </si>
  <si>
    <t>Nezla</t>
  </si>
  <si>
    <t>SP4-NZ1</t>
  </si>
  <si>
    <t>SP5-NZ1</t>
  </si>
  <si>
    <t>SP6-NZ1</t>
  </si>
  <si>
    <t>1.4250</t>
  </si>
  <si>
    <t>35.4250</t>
  </si>
  <si>
    <t>Medareg</t>
  </si>
  <si>
    <t>Laghouat</t>
  </si>
  <si>
    <t>PRS-NZ1</t>
  </si>
  <si>
    <t>SP1-NK1</t>
  </si>
  <si>
    <t>SP3-NK1</t>
  </si>
  <si>
    <t>Selga/El Outaya</t>
  </si>
  <si>
    <t>Ouagla</t>
  </si>
  <si>
    <t>Presuration Station</t>
  </si>
  <si>
    <t>Faïdja</t>
  </si>
  <si>
    <t>PRS</t>
  </si>
  <si>
    <t>Sougueur</t>
  </si>
  <si>
    <t>SP4-LNZ1</t>
  </si>
  <si>
    <t>SP5-LNZ1</t>
  </si>
  <si>
    <t>SP6-LNZ1</t>
  </si>
  <si>
    <t>SP0-LZ1</t>
  </si>
  <si>
    <t>SP1-LZ1</t>
  </si>
  <si>
    <t>SP1-LZ2</t>
  </si>
  <si>
    <t>SP-PRS-LZ1/LZ2</t>
  </si>
  <si>
    <t>6.7022</t>
  </si>
  <si>
    <t>29.7402</t>
  </si>
  <si>
    <t>Rhourde Nouss</t>
  </si>
  <si>
    <t>Bordj Omar Driss</t>
  </si>
  <si>
    <t>5.9731</t>
  </si>
  <si>
    <t>31.8894</t>
  </si>
  <si>
    <t>5.3268</t>
  </si>
  <si>
    <t>31.9326</t>
  </si>
  <si>
    <t>El Atteuf</t>
  </si>
  <si>
    <t>SPRN-LR1</t>
  </si>
  <si>
    <t>SP1-LR1</t>
  </si>
  <si>
    <t>SP2-LR1</t>
  </si>
  <si>
    <t>SP1-LNZ1</t>
  </si>
  <si>
    <t>SP3-LNZ1</t>
  </si>
  <si>
    <t>2.8449</t>
  </si>
  <si>
    <t>33.9281</t>
  </si>
  <si>
    <t>820.4</t>
  </si>
  <si>
    <t>1.7056</t>
  </si>
  <si>
    <t>35.1027</t>
  </si>
  <si>
    <t>970.8</t>
  </si>
  <si>
    <t>1.3187</t>
  </si>
  <si>
    <t>35.3453</t>
  </si>
  <si>
    <t>1032.2</t>
  </si>
  <si>
    <t>Zaaroura</t>
  </si>
  <si>
    <t>80.9</t>
  </si>
  <si>
    <t>Bourmadia</t>
  </si>
  <si>
    <t>0.6125</t>
  </si>
  <si>
    <t>35.7322</t>
  </si>
  <si>
    <t>Relizane</t>
  </si>
  <si>
    <t>Compression Station</t>
  </si>
  <si>
    <t>SC1-GZ0</t>
  </si>
  <si>
    <t>SC2-GZ0</t>
  </si>
  <si>
    <t>SC3-GZ0</t>
  </si>
  <si>
    <t>SC4-GZ0</t>
  </si>
  <si>
    <t>Medarreg</t>
  </si>
  <si>
    <t>3.1706</t>
  </si>
  <si>
    <t>32.9472</t>
  </si>
  <si>
    <t>2.875</t>
  </si>
  <si>
    <t>33.8028</t>
  </si>
  <si>
    <t>35.1927</t>
  </si>
  <si>
    <t>1.4959</t>
  </si>
  <si>
    <t>35.1835</t>
  </si>
  <si>
    <t>2.7389</t>
  </si>
  <si>
    <t>33.6245</t>
  </si>
  <si>
    <t>Timzhert A</t>
  </si>
  <si>
    <t>2.7412</t>
  </si>
  <si>
    <t>33.6412</t>
  </si>
  <si>
    <t>Timzhert B</t>
  </si>
  <si>
    <t>2.7361</t>
  </si>
  <si>
    <t>33.6078</t>
  </si>
  <si>
    <t>Timzhert C</t>
  </si>
  <si>
    <t>2.5834</t>
  </si>
  <si>
    <t>33.7891</t>
  </si>
  <si>
    <t>M'seka A</t>
  </si>
  <si>
    <t>2.5903</t>
  </si>
  <si>
    <t>33.8089</t>
  </si>
  <si>
    <t>M'seka B</t>
  </si>
  <si>
    <t>2.5761</t>
  </si>
  <si>
    <t>33.7689</t>
  </si>
  <si>
    <t>M'seka C</t>
  </si>
  <si>
    <t>Medarreg A</t>
  </si>
  <si>
    <t>1.7089</t>
  </si>
  <si>
    <t>35.1211</t>
  </si>
  <si>
    <t>Medarreg B</t>
  </si>
  <si>
    <t>1.7020</t>
  </si>
  <si>
    <t>35.0845</t>
  </si>
  <si>
    <t>Medarreg C</t>
  </si>
  <si>
    <t>1.4521</t>
  </si>
  <si>
    <t>35.2876</t>
  </si>
  <si>
    <t>Nador A</t>
  </si>
  <si>
    <t>1.4567</t>
  </si>
  <si>
    <t>35.3078</t>
  </si>
  <si>
    <t>Nador B</t>
  </si>
  <si>
    <t>1.4475</t>
  </si>
  <si>
    <t>35.2678</t>
  </si>
  <si>
    <t>Nador C</t>
  </si>
  <si>
    <t>0.8211</t>
  </si>
  <si>
    <t>35.6546</t>
  </si>
  <si>
    <t>Kenenda A</t>
  </si>
  <si>
    <t>0.8267</t>
  </si>
  <si>
    <t>35.6698</t>
  </si>
  <si>
    <t>Kenenda B</t>
  </si>
  <si>
    <t>0.8152</t>
  </si>
  <si>
    <t>35.6388</t>
  </si>
  <si>
    <t>Kenenda C</t>
  </si>
  <si>
    <t>Nador</t>
  </si>
  <si>
    <t>M'seka</t>
  </si>
  <si>
    <t>Timzhert</t>
  </si>
  <si>
    <t>Kenenda</t>
  </si>
  <si>
    <t>Bennaceur Benchohra</t>
  </si>
  <si>
    <t>Tadjmount</t>
  </si>
  <si>
    <t>Naïma</t>
  </si>
  <si>
    <t>Zemmora</t>
  </si>
  <si>
    <t>SC1-GZ1</t>
  </si>
  <si>
    <t>SC1-GZ2</t>
  </si>
  <si>
    <t>SC1-GZ3</t>
  </si>
  <si>
    <t>SC2-GZ1</t>
  </si>
  <si>
    <t>SC2-GZ2</t>
  </si>
  <si>
    <t>SC2-GZ3</t>
  </si>
  <si>
    <t>SC3-GZ1</t>
  </si>
  <si>
    <t>SC3-GZ2</t>
  </si>
  <si>
    <t>SC3-GZ3</t>
  </si>
  <si>
    <t>SC4-GZ1</t>
  </si>
  <si>
    <t>SC4-GZ2</t>
  </si>
  <si>
    <t>SC4-GZ3</t>
  </si>
  <si>
    <t>SC5-GZ1</t>
  </si>
  <si>
    <t>SC5-GZ2</t>
  </si>
  <si>
    <t>SC5-GZ3</t>
  </si>
  <si>
    <t>SC3-GPDF</t>
  </si>
  <si>
    <t>Labiodh Sidi Cheikh</t>
  </si>
  <si>
    <t>34.5000</t>
  </si>
  <si>
    <t>0.5450</t>
  </si>
  <si>
    <t>32.9100</t>
  </si>
  <si>
    <t>EL BAYADH</t>
  </si>
  <si>
    <t>715.5</t>
  </si>
  <si>
    <t>Hassi Delaa</t>
  </si>
  <si>
    <t>3.5502</t>
  </si>
  <si>
    <t>33.4174</t>
  </si>
  <si>
    <t>Hassi R'Mel</t>
  </si>
  <si>
    <t>5.0667</t>
  </si>
  <si>
    <t>34.4167</t>
  </si>
  <si>
    <t>Ouled Djellal</t>
  </si>
  <si>
    <t>5.2500</t>
  </si>
  <si>
    <t>Chaiba</t>
  </si>
  <si>
    <t>6.1234</t>
  </si>
  <si>
    <t>35.2345</t>
  </si>
  <si>
    <t>Sefiane</t>
  </si>
  <si>
    <t>6.7890</t>
  </si>
  <si>
    <t>36.1234</t>
  </si>
  <si>
    <t>Mechtatine</t>
  </si>
  <si>
    <t>Tadjnanet</t>
  </si>
  <si>
    <t>SC1-GK1</t>
  </si>
  <si>
    <t>SC2-GK1</t>
  </si>
  <si>
    <t>SC3-GK1</t>
  </si>
  <si>
    <t>SC4-GK1</t>
  </si>
  <si>
    <t>SC5-GK1</t>
  </si>
  <si>
    <t>Mila</t>
  </si>
  <si>
    <t>6.0942</t>
  </si>
  <si>
    <t>34.6863</t>
  </si>
  <si>
    <t>-1.6</t>
  </si>
  <si>
    <t>Ain Naga</t>
  </si>
  <si>
    <t>Sidi Okba</t>
  </si>
  <si>
    <t>S01-GO2</t>
  </si>
  <si>
    <t>3.4704</t>
  </si>
  <si>
    <t>34.5066</t>
  </si>
  <si>
    <t>Moudjebara</t>
  </si>
  <si>
    <t>Aïn El Ibel</t>
  </si>
  <si>
    <t>Djelfa</t>
  </si>
  <si>
    <t>2.8251</t>
  </si>
  <si>
    <t>28.6422</t>
  </si>
  <si>
    <t>Krechba</t>
  </si>
  <si>
    <t>In Salah</t>
  </si>
  <si>
    <t>S01-GR5</t>
  </si>
  <si>
    <t>S01-GR7</t>
  </si>
  <si>
    <t>S01-GG1</t>
  </si>
  <si>
    <t>SC-TFT</t>
  </si>
  <si>
    <t>6.8256</t>
  </si>
  <si>
    <t>28.1464</t>
  </si>
  <si>
    <t>TFT/Bordj Omar Idriss</t>
  </si>
  <si>
    <t>6.7500</t>
  </si>
  <si>
    <t>28.5000</t>
  </si>
  <si>
    <t>6.0518</t>
  </si>
  <si>
    <t>31.7876</t>
  </si>
  <si>
    <t>Zina/Hassi Messaoud</t>
  </si>
  <si>
    <t>illizi</t>
  </si>
  <si>
    <t>SC1-GR2</t>
  </si>
  <si>
    <t>SC2-GR2</t>
  </si>
  <si>
    <t>SC3-GR2</t>
  </si>
  <si>
    <t>SC4-GR2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</si>
  <si>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</si>
  <si>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</si>
  <si>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</si>
  <si>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</si>
  <si>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</si>
  <si>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</si>
  <si>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Alrar</t>
  </si>
  <si>
    <t>Isarène</t>
  </si>
  <si>
    <t>Hamra</t>
  </si>
  <si>
    <t>CPF MLE</t>
  </si>
  <si>
    <t>URGA Gassi Touil</t>
  </si>
  <si>
    <t>Rhourde El Baguel</t>
  </si>
  <si>
    <t>CIS HMD</t>
  </si>
  <si>
    <t>Guellala</t>
  </si>
  <si>
    <t>Oued Noumer</t>
  </si>
  <si>
    <t>GR4/6</t>
  </si>
  <si>
    <t>GR1/2</t>
  </si>
  <si>
    <t>Tinhert *</t>
  </si>
  <si>
    <t>Isaréne</t>
  </si>
  <si>
    <t>EL MERK</t>
  </si>
  <si>
    <t>X</t>
  </si>
  <si>
    <t xml:space="preserve">NH2 </t>
  </si>
  <si>
    <t>Ourhoud</t>
  </si>
  <si>
    <t>HBNS (Pôle Hassi Berkine)</t>
  </si>
  <si>
    <t>Bir Berkine Nord (BBK)</t>
  </si>
  <si>
    <t>Rhourd El Khrouf (RKF)</t>
  </si>
  <si>
    <t>Menzel Ledjmet Nord (MLN)</t>
  </si>
  <si>
    <t>EL BORMA</t>
  </si>
  <si>
    <t>BIR EL MSANA (BMS) (AST)</t>
  </si>
  <si>
    <t>MESDAR</t>
  </si>
  <si>
    <t>RHOURDE EL BAGUEL</t>
  </si>
  <si>
    <t>HASSI BIR REKAIZ (HBR) (AST)</t>
  </si>
  <si>
    <t xml:space="preserve">OD1 </t>
  </si>
  <si>
    <t>Zarzaitine</t>
  </si>
  <si>
    <t>Edjeleh</t>
  </si>
  <si>
    <t>Tiguentourine</t>
  </si>
  <si>
    <t>Acheb</t>
  </si>
  <si>
    <t>Tamadanet (à l’arrêt)</t>
  </si>
  <si>
    <t>Nezla (à l’arrêt)</t>
  </si>
  <si>
    <t>ELR</t>
  </si>
  <si>
    <t>CAFC</t>
  </si>
  <si>
    <t>Field</t>
  </si>
  <si>
    <t>Berkin Nord et Sud</t>
  </si>
  <si>
    <t>Bir Rbaa Nord</t>
  </si>
  <si>
    <t>Groupement Isarene / Ain Tsila</t>
  </si>
  <si>
    <t>Hassi Messaoud Sud 1</t>
  </si>
  <si>
    <t>Hassi Messaoud Sud 2</t>
  </si>
  <si>
    <t>Rhourd Nouss</t>
  </si>
  <si>
    <t>Z-CINA</t>
  </si>
  <si>
    <t>TFT</t>
  </si>
  <si>
    <t>Stah</t>
  </si>
  <si>
    <t>Menzel Ledjmet Nord (MLN) + CAFC</t>
  </si>
  <si>
    <t>TD – Reggane</t>
  </si>
  <si>
    <t>TD- PC 4 GR5</t>
  </si>
  <si>
    <t>TD Alrar</t>
  </si>
  <si>
    <t>TD Rhourde Nouss</t>
  </si>
  <si>
    <t>CNDG</t>
  </si>
  <si>
    <t>TD El Aricha</t>
  </si>
  <si>
    <t xml:space="preserve">LR1 </t>
  </si>
  <si>
    <t>GRD Ohanet</t>
  </si>
  <si>
    <t xml:space="preserve">DLR1 </t>
  </si>
  <si>
    <t>Mohgoun plateau</t>
  </si>
  <si>
    <t>Sebaa</t>
  </si>
  <si>
    <t>Bethioua</t>
  </si>
  <si>
    <t>Ain Bya</t>
  </si>
  <si>
    <t>Sidi Arcine</t>
  </si>
  <si>
    <t>Beraki</t>
  </si>
  <si>
    <t>Mers El Hadjadj</t>
  </si>
  <si>
    <t>Flifla</t>
  </si>
  <si>
    <t>Langitude</t>
  </si>
  <si>
    <t>Elevation</t>
  </si>
  <si>
    <t>ID_LOCATION</t>
  </si>
  <si>
    <t>Id</t>
  </si>
  <si>
    <t>Hassi R'mel Field</t>
  </si>
  <si>
    <t>Hassi R'mel CNDG</t>
  </si>
  <si>
    <t>Ksob Dam</t>
  </si>
  <si>
    <t>Zaaroura Highland</t>
  </si>
  <si>
    <t>Bourmadia station</t>
  </si>
  <si>
    <t>INSERT INTO T_01_02_05 (F_00, F_01, F_02, F_03, F_04, F_05) Values</t>
  </si>
  <si>
    <t>Location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</si>
</sst>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.00\ _€"/>
    <numFmt numFmtId="166" formatCode="_-* #,##0.00\ _€_-;\-* #,##0.00\ _€_-;_-* &quot;-&quot;??\ _€_-;_-@_-"/>
  </numFmts>
  <fonts count="23" x14ac:knownFonts="1">
    <font>
      <sz val="11"/>
      <color theme="1"/>
      <name val="Arial Narrow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0"/>
      <color indexed="63"/>
      <name val="Times New Roman"/>
      <family val="1"/>
    </font>
    <font>
      <sz val="8"/>
      <name val="Times New Roman"/>
      <family val="1"/>
    </font>
    <font>
      <sz val="10"/>
      <color indexed="8"/>
      <name val="Arial"/>
      <family val="2"/>
    </font>
    <font>
      <b/>
      <sz val="11"/>
      <color rgb="FFFF000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Arial Narrow"/>
      <family val="2"/>
    </font>
    <font>
      <sz val="8"/>
      <name val="Arial Narrow"/>
      <family val="2"/>
    </font>
    <font>
      <b/>
      <sz val="11"/>
      <name val="Calibri"/>
    </font>
    <font>
      <b/>
      <sz val="11"/>
      <name val="Calibri"/>
      <family val="2"/>
    </font>
    <font>
      <sz val="12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6" fontId="7" fillId="0" borderId="0" applyFont="0" applyFill="0" applyBorder="0" applyAlignment="0" applyProtection="0"/>
    <xf numFmtId="0" fontId="2" fillId="0" borderId="0"/>
    <xf numFmtId="0" fontId="7" fillId="0" borderId="0"/>
    <xf numFmtId="0" fontId="12" fillId="0" borderId="0"/>
    <xf numFmtId="166" fontId="7" fillId="0" borderId="0" applyFont="0" applyFill="0" applyBorder="0" applyAlignment="0" applyProtection="0"/>
    <xf numFmtId="0" fontId="2" fillId="0" borderId="0"/>
    <xf numFmtId="0" fontId="1" fillId="0" borderId="0"/>
  </cellStyleXfs>
  <cellXfs count="114">
    <xf numFmtId="0" fontId="0" fillId="0" borderId="0" xfId="0"/>
    <xf numFmtId="0" fontId="3" fillId="0" borderId="0" xfId="2" applyFont="1" applyAlignment="1">
      <alignment vertical="center" wrapText="1"/>
    </xf>
    <xf numFmtId="0" fontId="4" fillId="0" borderId="0" xfId="2" applyFont="1" applyFill="1" applyAlignment="1">
      <alignment vertical="center"/>
    </xf>
    <xf numFmtId="4" fontId="4" fillId="0" borderId="0" xfId="2" applyNumberFormat="1" applyFont="1" applyFill="1" applyAlignment="1">
      <alignment vertical="center"/>
    </xf>
    <xf numFmtId="0" fontId="6" fillId="0" borderId="0" xfId="2" applyFont="1" applyFill="1" applyAlignment="1">
      <alignment vertical="center"/>
    </xf>
    <xf numFmtId="164" fontId="6" fillId="0" borderId="1" xfId="3" applyNumberFormat="1" applyFont="1" applyFill="1" applyBorder="1" applyAlignment="1">
      <alignment horizontal="center" vertical="center" wrapText="1"/>
    </xf>
    <xf numFmtId="0" fontId="6" fillId="0" borderId="3" xfId="3" applyFont="1" applyFill="1" applyBorder="1" applyAlignment="1">
      <alignment horizontal="left" vertical="center" wrapText="1" readingOrder="1"/>
    </xf>
    <xf numFmtId="164" fontId="6" fillId="0" borderId="3" xfId="2" applyNumberFormat="1" applyFont="1" applyFill="1" applyBorder="1" applyAlignment="1">
      <alignment horizontal="center" vertical="center" wrapText="1"/>
    </xf>
    <xf numFmtId="164" fontId="8" fillId="0" borderId="3" xfId="2" applyNumberFormat="1" applyFont="1" applyFill="1" applyBorder="1" applyAlignment="1">
      <alignment horizontal="center" vertical="center" wrapText="1"/>
    </xf>
    <xf numFmtId="166" fontId="6" fillId="0" borderId="3" xfId="1" applyFont="1" applyFill="1" applyBorder="1" applyAlignment="1">
      <alignment horizontal="center" vertical="center"/>
    </xf>
    <xf numFmtId="166" fontId="5" fillId="0" borderId="4" xfId="1" applyFont="1" applyFill="1" applyBorder="1" applyAlignment="1">
      <alignment horizontal="center" vertical="center"/>
    </xf>
    <xf numFmtId="4" fontId="6" fillId="0" borderId="0" xfId="2" applyNumberFormat="1" applyFont="1" applyFill="1" applyBorder="1" applyAlignment="1">
      <alignment vertical="center"/>
    </xf>
    <xf numFmtId="0" fontId="6" fillId="0" borderId="0" xfId="2" applyFont="1" applyFill="1" applyBorder="1" applyAlignment="1">
      <alignment vertical="center"/>
    </xf>
    <xf numFmtId="164" fontId="5" fillId="0" borderId="3" xfId="2" applyNumberFormat="1" applyFont="1" applyFill="1" applyBorder="1" applyAlignment="1">
      <alignment horizontal="center" vertical="center" wrapText="1"/>
    </xf>
    <xf numFmtId="166" fontId="6" fillId="0" borderId="2" xfId="1" applyFont="1" applyFill="1" applyBorder="1" applyAlignment="1">
      <alignment horizontal="center" vertical="center"/>
    </xf>
    <xf numFmtId="166" fontId="5" fillId="0" borderId="7" xfId="1" applyFont="1" applyFill="1" applyBorder="1" applyAlignment="1">
      <alignment horizontal="center" vertical="center"/>
    </xf>
    <xf numFmtId="166" fontId="6" fillId="0" borderId="8" xfId="1" applyFont="1" applyFill="1" applyBorder="1" applyAlignment="1">
      <alignment horizontal="center" vertical="center"/>
    </xf>
    <xf numFmtId="166" fontId="5" fillId="0" borderId="10" xfId="1" applyFont="1" applyFill="1" applyBorder="1" applyAlignment="1">
      <alignment horizontal="center" vertical="center"/>
    </xf>
    <xf numFmtId="166" fontId="5" fillId="0" borderId="0" xfId="1" applyFont="1" applyFill="1" applyBorder="1" applyAlignment="1">
      <alignment horizontal="center" vertical="center"/>
    </xf>
    <xf numFmtId="165" fontId="10" fillId="0" borderId="0" xfId="2" applyNumberFormat="1" applyFont="1" applyFill="1" applyBorder="1" applyAlignment="1">
      <alignment horizontal="left" vertical="center" wrapText="1"/>
    </xf>
    <xf numFmtId="165" fontId="9" fillId="0" borderId="0" xfId="2" applyNumberFormat="1" applyFont="1" applyFill="1" applyBorder="1" applyAlignment="1">
      <alignment horizontal="left" vertical="center" wrapText="1"/>
    </xf>
    <xf numFmtId="0" fontId="11" fillId="0" borderId="0" xfId="2" applyFont="1" applyFill="1" applyBorder="1" applyAlignment="1">
      <alignment vertical="center"/>
    </xf>
    <xf numFmtId="166" fontId="5" fillId="0" borderId="0" xfId="1" applyFont="1" applyAlignment="1">
      <alignment horizontal="center" vertical="center"/>
    </xf>
    <xf numFmtId="166" fontId="5" fillId="0" borderId="0" xfId="1" applyFont="1" applyFill="1" applyAlignment="1">
      <alignment horizontal="center" vertical="center" wrapText="1"/>
    </xf>
    <xf numFmtId="166" fontId="5" fillId="0" borderId="0" xfId="1" applyFont="1" applyFill="1" applyAlignment="1">
      <alignment horizontal="center" vertical="center"/>
    </xf>
    <xf numFmtId="0" fontId="4" fillId="0" borderId="0" xfId="2" applyFont="1" applyAlignment="1">
      <alignment vertical="center"/>
    </xf>
    <xf numFmtId="0" fontId="9" fillId="0" borderId="0" xfId="2" applyFont="1" applyFill="1" applyAlignment="1">
      <alignment vertical="center" wrapText="1"/>
    </xf>
    <xf numFmtId="166" fontId="4" fillId="0" borderId="0" xfId="2" applyNumberFormat="1" applyFont="1" applyFill="1" applyAlignment="1">
      <alignment vertical="center"/>
    </xf>
    <xf numFmtId="164" fontId="6" fillId="0" borderId="1" xfId="4" applyNumberFormat="1" applyFont="1" applyFill="1" applyBorder="1" applyAlignment="1">
      <alignment horizontal="center" vertical="center" wrapText="1"/>
    </xf>
    <xf numFmtId="0" fontId="6" fillId="0" borderId="3" xfId="4" applyFont="1" applyFill="1" applyBorder="1" applyAlignment="1">
      <alignment horizontal="left" vertical="center" wrapText="1" readingOrder="1"/>
    </xf>
    <xf numFmtId="164" fontId="6" fillId="0" borderId="9" xfId="4" applyNumberFormat="1" applyFont="1" applyFill="1" applyBorder="1" applyAlignment="1">
      <alignment horizontal="center" vertical="center" wrapText="1"/>
    </xf>
    <xf numFmtId="0" fontId="6" fillId="0" borderId="8" xfId="4" applyFont="1" applyFill="1" applyBorder="1" applyAlignment="1">
      <alignment horizontal="left" vertical="center" wrapText="1" readingOrder="1"/>
    </xf>
    <xf numFmtId="164" fontId="5" fillId="0" borderId="8" xfId="2" applyNumberFormat="1" applyFont="1" applyFill="1" applyBorder="1" applyAlignment="1">
      <alignment horizontal="center" vertical="center" wrapText="1"/>
    </xf>
    <xf numFmtId="0" fontId="9" fillId="0" borderId="0" xfId="2" applyFont="1" applyFill="1" applyBorder="1" applyAlignment="1">
      <alignment vertical="center" wrapText="1"/>
    </xf>
    <xf numFmtId="0" fontId="4" fillId="0" borderId="0" xfId="2" applyFont="1" applyFill="1" applyBorder="1" applyAlignment="1">
      <alignment vertical="center"/>
    </xf>
    <xf numFmtId="166" fontId="6" fillId="0" borderId="0" xfId="1" applyFont="1" applyAlignment="1">
      <alignment vertical="center"/>
    </xf>
    <xf numFmtId="166" fontId="6" fillId="0" borderId="0" xfId="1" applyFont="1" applyFill="1" applyBorder="1" applyAlignment="1">
      <alignment vertical="center" wrapText="1"/>
    </xf>
    <xf numFmtId="166" fontId="6" fillId="0" borderId="0" xfId="1" applyFont="1" applyFill="1" applyBorder="1" applyAlignment="1">
      <alignment vertical="center"/>
    </xf>
    <xf numFmtId="166" fontId="6" fillId="0" borderId="0" xfId="1" applyFont="1" applyFill="1" applyAlignment="1">
      <alignment vertical="center"/>
    </xf>
    <xf numFmtId="166" fontId="6" fillId="0" borderId="0" xfId="2" applyNumberFormat="1" applyFont="1" applyFill="1" applyBorder="1" applyAlignment="1">
      <alignment vertical="center"/>
    </xf>
    <xf numFmtId="166" fontId="13" fillId="0" borderId="3" xfId="1" applyFont="1" applyFill="1" applyBorder="1" applyAlignment="1">
      <alignment horizontal="center" vertical="center"/>
    </xf>
    <xf numFmtId="166" fontId="5" fillId="0" borderId="3" xfId="1" applyFont="1" applyFill="1" applyBorder="1" applyAlignment="1">
      <alignment horizontal="center" vertical="center"/>
    </xf>
    <xf numFmtId="0" fontId="6" fillId="0" borderId="2" xfId="4" applyFont="1" applyFill="1" applyBorder="1" applyAlignment="1">
      <alignment horizontal="left" vertical="center" wrapText="1" readingOrder="1"/>
    </xf>
    <xf numFmtId="164" fontId="5" fillId="0" borderId="2" xfId="2" applyNumberFormat="1" applyFont="1" applyFill="1" applyBorder="1" applyAlignment="1">
      <alignment horizontal="center" vertical="center" wrapText="1"/>
    </xf>
    <xf numFmtId="166" fontId="5" fillId="0" borderId="2" xfId="1" applyFont="1" applyFill="1" applyBorder="1" applyAlignment="1">
      <alignment horizontal="center" vertical="center"/>
    </xf>
    <xf numFmtId="4" fontId="16" fillId="0" borderId="0" xfId="2" applyNumberFormat="1" applyFont="1" applyFill="1" applyBorder="1" applyAlignment="1">
      <alignment vertical="center"/>
    </xf>
    <xf numFmtId="0" fontId="16" fillId="0" borderId="0" xfId="2" applyFont="1" applyFill="1" applyBorder="1" applyAlignment="1">
      <alignment vertical="center"/>
    </xf>
    <xf numFmtId="0" fontId="17" fillId="0" borderId="3" xfId="4" applyFont="1" applyFill="1" applyBorder="1" applyAlignment="1">
      <alignment horizontal="left" vertical="center" wrapText="1" readingOrder="1"/>
    </xf>
    <xf numFmtId="164" fontId="6" fillId="2" borderId="1" xfId="4" applyNumberFormat="1" applyFont="1" applyFill="1" applyBorder="1" applyAlignment="1">
      <alignment horizontal="center" vertical="center" wrapText="1"/>
    </xf>
    <xf numFmtId="0" fontId="17" fillId="2" borderId="3" xfId="4" applyFont="1" applyFill="1" applyBorder="1" applyAlignment="1">
      <alignment horizontal="left" vertical="center" wrapText="1" readingOrder="1"/>
    </xf>
    <xf numFmtId="4" fontId="17" fillId="0" borderId="0" xfId="2" applyNumberFormat="1" applyFont="1" applyFill="1" applyBorder="1" applyAlignment="1">
      <alignment vertical="center"/>
    </xf>
    <xf numFmtId="0" fontId="17" fillId="0" borderId="0" xfId="2" applyFont="1" applyFill="1" applyBorder="1" applyAlignment="1">
      <alignment vertical="center"/>
    </xf>
    <xf numFmtId="0" fontId="6" fillId="2" borderId="3" xfId="4" applyFont="1" applyFill="1" applyBorder="1" applyAlignment="1">
      <alignment horizontal="left" vertical="center" wrapText="1" readingOrder="1"/>
    </xf>
    <xf numFmtId="0" fontId="6" fillId="2" borderId="2" xfId="4" applyFont="1" applyFill="1" applyBorder="1" applyAlignment="1">
      <alignment horizontal="left" vertical="center" wrapText="1" readingOrder="1"/>
    </xf>
    <xf numFmtId="0" fontId="6" fillId="0" borderId="3" xfId="2" applyFont="1" applyFill="1" applyBorder="1" applyAlignment="1">
      <alignment vertical="center"/>
    </xf>
    <xf numFmtId="166" fontId="5" fillId="0" borderId="8" xfId="1" applyFont="1" applyFill="1" applyBorder="1" applyAlignment="1">
      <alignment horizontal="center" vertical="center"/>
    </xf>
    <xf numFmtId="0" fontId="5" fillId="0" borderId="0" xfId="2" applyFont="1" applyAlignment="1">
      <alignment vertical="center"/>
    </xf>
    <xf numFmtId="0" fontId="5" fillId="0" borderId="0" xfId="2" applyFont="1" applyFill="1" applyAlignment="1">
      <alignment vertical="center" wrapText="1"/>
    </xf>
    <xf numFmtId="0" fontId="5" fillId="0" borderId="0" xfId="2" applyFont="1" applyFill="1" applyAlignment="1">
      <alignment vertical="center"/>
    </xf>
    <xf numFmtId="166" fontId="5" fillId="0" borderId="0" xfId="2" applyNumberFormat="1" applyFont="1" applyFill="1" applyAlignment="1">
      <alignment vertical="center"/>
    </xf>
    <xf numFmtId="4" fontId="5" fillId="0" borderId="0" xfId="2" applyNumberFormat="1" applyFont="1" applyFill="1" applyAlignment="1">
      <alignment vertical="center"/>
    </xf>
    <xf numFmtId="0" fontId="5" fillId="0" borderId="0" xfId="2" applyFont="1" applyFill="1" applyBorder="1" applyAlignment="1">
      <alignment vertical="center"/>
    </xf>
    <xf numFmtId="164" fontId="6" fillId="0" borderId="1" xfId="4" applyNumberFormat="1" applyFont="1" applyBorder="1" applyAlignment="1">
      <alignment horizontal="center" vertical="center" wrapText="1"/>
    </xf>
    <xf numFmtId="166" fontId="5" fillId="0" borderId="0" xfId="1" applyFont="1" applyAlignment="1">
      <alignment vertical="center"/>
    </xf>
    <xf numFmtId="166" fontId="5" fillId="0" borderId="0" xfId="1" applyFont="1" applyFill="1" applyAlignment="1">
      <alignment vertical="center" wrapText="1"/>
    </xf>
    <xf numFmtId="166" fontId="5" fillId="0" borderId="0" xfId="1" applyFont="1" applyFill="1" applyAlignment="1">
      <alignment vertical="center"/>
    </xf>
    <xf numFmtId="164" fontId="6" fillId="2" borderId="3" xfId="4" applyNumberFormat="1" applyFont="1" applyFill="1" applyBorder="1" applyAlignment="1">
      <alignment horizontal="left" vertical="center" wrapText="1"/>
    </xf>
    <xf numFmtId="0" fontId="6" fillId="2" borderId="3" xfId="3" applyFont="1" applyFill="1" applyBorder="1" applyAlignment="1">
      <alignment horizontal="left" vertical="center" wrapText="1" readingOrder="1"/>
    </xf>
    <xf numFmtId="166" fontId="6" fillId="2" borderId="3" xfId="1" applyFont="1" applyFill="1" applyBorder="1" applyAlignment="1">
      <alignment horizontal="center" vertical="center"/>
    </xf>
    <xf numFmtId="0" fontId="6" fillId="2" borderId="0" xfId="2" applyFont="1" applyFill="1" applyAlignment="1">
      <alignment vertical="center"/>
    </xf>
    <xf numFmtId="164" fontId="5" fillId="2" borderId="3" xfId="2" applyNumberFormat="1" applyFont="1" applyFill="1" applyBorder="1" applyAlignment="1">
      <alignment horizontal="center" vertical="center" wrapText="1"/>
    </xf>
    <xf numFmtId="166" fontId="6" fillId="2" borderId="6" xfId="1" applyFont="1" applyFill="1" applyBorder="1" applyAlignment="1">
      <alignment horizontal="center" vertical="center"/>
    </xf>
    <xf numFmtId="166" fontId="5" fillId="2" borderId="3" xfId="1" applyFont="1" applyFill="1" applyBorder="1" applyAlignment="1">
      <alignment horizontal="center" vertical="center"/>
    </xf>
    <xf numFmtId="166" fontId="6" fillId="2" borderId="0" xfId="2" applyNumberFormat="1" applyFont="1" applyFill="1" applyAlignment="1">
      <alignment vertical="center"/>
    </xf>
    <xf numFmtId="0" fontId="9" fillId="0" borderId="3" xfId="4" applyFont="1" applyFill="1" applyBorder="1" applyAlignment="1">
      <alignment horizontal="left" vertical="center" wrapText="1" readingOrder="1"/>
    </xf>
    <xf numFmtId="166" fontId="6" fillId="0" borderId="4" xfId="1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3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18" fillId="3" borderId="3" xfId="0" applyFont="1" applyFill="1" applyBorder="1" applyAlignment="1">
      <alignment horizontal="center" vertical="center"/>
    </xf>
    <xf numFmtId="0" fontId="18" fillId="3" borderId="3" xfId="0" applyFont="1" applyFill="1" applyBorder="1" applyAlignment="1">
      <alignment horizontal="center" vertical="center"/>
    </xf>
    <xf numFmtId="0" fontId="18" fillId="3" borderId="12" xfId="0" applyFont="1" applyFill="1" applyBorder="1" applyAlignment="1">
      <alignment horizontal="center" vertical="center"/>
    </xf>
    <xf numFmtId="0" fontId="18" fillId="3" borderId="6" xfId="0" applyFont="1" applyFill="1" applyBorder="1" applyAlignment="1">
      <alignment horizontal="center" vertical="center"/>
    </xf>
    <xf numFmtId="0" fontId="18" fillId="3" borderId="11" xfId="0" applyFont="1" applyFill="1" applyBorder="1" applyAlignment="1">
      <alignment horizontal="center" vertical="center"/>
    </xf>
    <xf numFmtId="164" fontId="5" fillId="2" borderId="5" xfId="4" applyNumberFormat="1" applyFont="1" applyFill="1" applyBorder="1" applyAlignment="1">
      <alignment horizontal="left" vertical="center" wrapText="1"/>
    </xf>
    <xf numFmtId="164" fontId="5" fillId="2" borderId="11" xfId="4" applyNumberFormat="1" applyFont="1" applyFill="1" applyBorder="1" applyAlignment="1">
      <alignment horizontal="left" vertical="center" wrapText="1"/>
    </xf>
    <xf numFmtId="0" fontId="1" fillId="0" borderId="0" xfId="7"/>
    <xf numFmtId="0" fontId="1" fillId="0" borderId="0" xfId="7"/>
    <xf numFmtId="0" fontId="1" fillId="0" borderId="0" xfId="7"/>
    <xf numFmtId="0" fontId="1" fillId="0" borderId="0" xfId="7"/>
    <xf numFmtId="0" fontId="1" fillId="0" borderId="0" xfId="7"/>
    <xf numFmtId="0" fontId="1" fillId="0" borderId="0" xfId="7"/>
    <xf numFmtId="0" fontId="1" fillId="0" borderId="0" xfId="7"/>
    <xf numFmtId="0" fontId="1" fillId="0" borderId="0" xfId="7"/>
    <xf numFmtId="0" fontId="1" fillId="0" borderId="0" xfId="7"/>
    <xf numFmtId="0" fontId="1" fillId="0" borderId="0" xfId="7"/>
    <xf numFmtId="0" fontId="20" fillId="0" borderId="3" xfId="7" applyFont="1" applyBorder="1" applyAlignment="1">
      <alignment horizontal="center" vertical="top"/>
    </xf>
    <xf numFmtId="0" fontId="1" fillId="0" borderId="0" xfId="7" applyFill="1"/>
    <xf numFmtId="0" fontId="1" fillId="0" borderId="0" xfId="7"/>
    <xf numFmtId="0" fontId="1" fillId="0" borderId="0" xfId="7"/>
    <xf numFmtId="0" fontId="1" fillId="0" borderId="0" xfId="7"/>
    <xf numFmtId="0" fontId="1" fillId="0" borderId="0" xfId="7"/>
    <xf numFmtId="0" fontId="21" fillId="0" borderId="3" xfId="7" applyFont="1" applyBorder="1" applyAlignment="1">
      <alignment horizontal="center" vertical="top"/>
    </xf>
    <xf numFmtId="49" fontId="0" fillId="0" borderId="0" xfId="0" applyNumberFormat="1"/>
    <xf numFmtId="0" fontId="1" fillId="0" borderId="0" xfId="7"/>
    <xf numFmtId="0" fontId="0" fillId="0" borderId="0" xfId="0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2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left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</cellXfs>
  <cellStyles count="8">
    <cellStyle name="Milliers" xfId="1" builtinId="3"/>
    <cellStyle name="Milliers 2 2" xfId="5" xr:uid="{00000000-0005-0000-0000-000001000000}"/>
    <cellStyle name="Normal" xfId="0" builtinId="0"/>
    <cellStyle name="Normal 2" xfId="4" xr:uid="{00000000-0005-0000-0000-000003000000}"/>
    <cellStyle name="Normal 2 2" xfId="3" xr:uid="{00000000-0005-0000-0000-000004000000}"/>
    <cellStyle name="Normal 3" xfId="7" xr:uid="{75C7037C-84C5-4017-9FA6-1ABE1E8D47CC}"/>
    <cellStyle name="Normal 9 2" xfId="6" xr:uid="{00000000-0005-0000-0000-000005000000}"/>
    <cellStyle name="Normal_R2PARTITION 2007-2009" xfId="2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08622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600-00003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600-00004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600-00004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600-00004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600-00005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600-00006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600-00009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600-00009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600-00009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600-00009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600-00009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600-00009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600-00009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600-00009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600-00009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600-00009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600-00009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600-0000A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600-0000A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600-0000A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600-0000A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600-0000A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600-0000A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600-0000A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600-0000A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600-0000A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600-0000A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600-0000A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600-0000A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600-0000A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600-0000A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600-0000A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600-0000B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600-0000B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600-0000B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600-0000B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600-0000B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600-0000B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600-0000B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600-0000B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600-0000B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600-0000B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600-0000B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600-0000B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600-0000B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600-0000B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600-0000B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600-0000B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600-0000C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600-0000C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600-0000C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600-0000C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600-0000C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600-0000C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600-0000C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600-0000C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600-0000C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600-0000C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600-0000C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600-0000C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600-0000C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600-0000C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600-0000C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600-0000C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600-0000D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600-0000D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600-0000D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600-0000D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600-0000D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600-0000D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600-0000D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600-0000D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600-0000D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600-0000D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600-0000D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600-0000D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600-0000D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600-0000D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600-0000D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600-0000D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600-0000E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600-0000E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600-0000E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600-0000E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600-0000E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600-0000E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600-0000E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600-0000E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600-0000E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600-0000E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600-0000E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600-0000E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600-0000E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600-0000E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600-0000E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600-0000E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600-0000F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600-0000F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600-0000F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600-0000F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600-0000F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600-0000F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600-0000F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600-0000F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600-0000F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600-0000F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600-0000F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600-0000F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600-0000F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600-0000F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600-0000F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600-0000F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600-00000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600-00000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600-00000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600-00000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600-00000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600-00000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600-00000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600-00000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600-00000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600-00000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600-00000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600-00000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600-00000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600-00000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600-00000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600-00000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600-00001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600-00001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600-00001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600-00001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600-00001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600-00001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600-00001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600-00001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600-00001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600-00001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600-00001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600-00001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600-00001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6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6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6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6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6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6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6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6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6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6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6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6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6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6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6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6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6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6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6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6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6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6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6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6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6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6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6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6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6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6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6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6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6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6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6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6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6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6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6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6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6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6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6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6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6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6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6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6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6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6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6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6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6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6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6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6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6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6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6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6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6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6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6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6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6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6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6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6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6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6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6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6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6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6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6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6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6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6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6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6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6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6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6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6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6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6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6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6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6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6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6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6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6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6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6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6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6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6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6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6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6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6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6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6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6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6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6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6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6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6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600-00008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600-00008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600-00008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600-00008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600-00008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600-00009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600-00009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600-00009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600-00009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600-00009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600-00009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600-00009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600-00009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600-00009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600-00009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600-00009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600-00009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600-00009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600-00009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600-00009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600-00009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600-0000A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600-0000A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600-0000A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600-0000A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600-0000A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600-0000A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600-0000A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600-0000A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600-0000A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600-0000A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600-0000A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600-0000A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600-0000A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600-0000A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600-0000A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600-0000A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600-0000B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600-0000B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600-0000B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600-0000B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600-0000B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600-0000B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600-0000B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600-0000B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600-0000B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600-0000B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600-0000B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600-0000B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600-0000B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600-0000B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600-0000B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600-0000B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600-0000C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600-0000C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600-0000C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600-0000C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600-0000C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600-0000C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600-0000C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600-0000C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600-0000C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600-0000C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600-0000C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600-0000C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600-0000C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600-0000C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600-0000C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600-0000C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600-0000D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600-0000D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600-0000D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600-0000D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600-0000D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600-0000D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600-0000D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600-0000D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600-0000D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600-0000D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600-0000D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600-0000D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600-0000D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600-0000D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600-0000D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600-0000D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600-0000E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600-0000E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600-0000E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600-0000E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600-0000E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600-0000E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600-0000E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600-0000E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600-0000E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600-0000E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600-0000E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600-0000E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600-0000E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600-0000E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600-0000E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600-0000E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600-0000F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600-0000F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600-0000F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600-0000F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600-0000F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600-0000F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600-0000F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600-0000F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600-0000F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600-0000F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600-0000F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600-0000F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600-0000F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600-0000F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600-0000F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600-0000F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600-00000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600-00000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600-00000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600-00000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600-00000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600-00000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600-00000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600-00000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600-00000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600-00000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600-00000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600-00000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600-00000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600-00000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600-00000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600-00000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600-00001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600-00001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600-00001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600-00001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600-00001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600-00001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600-00001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600-00001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600-00001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600-00001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600-00001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600-00001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600-00001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600-00001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600-00001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600-00001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600-00002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600-00002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600-00002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600-00002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600-00002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600-00002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600-00002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600-00002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600-00002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600-00002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600-00002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600-00002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600-00002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600-00002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600-00002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600-00002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600-00003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600-00003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600-00003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600-00003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600-00003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600-00003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600-00003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600-00003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600-00003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600-00003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600-00003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600-00003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600-00003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600-00003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600-00003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600-00003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600-00004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600-00004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600-00004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600-00004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600-00004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600-00004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600-00004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600-00004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600-00004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600-00004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600-00004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600-00004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600-00004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600-00004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600-00004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600-00004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600-00005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600-00005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600-00005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600-00005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600-00005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600-00005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600-00005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600-00005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600-00005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600-00005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600-00005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600-00005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600-00005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600-00005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600-00005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600-00005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600-00006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600-00006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600-00006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600-00006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600-00006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600-00006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600-00006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600-00006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600-00006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600-00006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600-00006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600-00006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600-00006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600-00006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600-00006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600-00006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600-00007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600-00007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600-00007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600-00007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600-00007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600-00007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600-00007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600-00007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600-00007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600-00007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600-00007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600-00007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600-00007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600-00007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600-00007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600-00007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600-00008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600-00008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600-00008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600-00008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600-00008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600-00008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600-00008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600-00008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600-00008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600-00008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600-00008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600-00008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600-00008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600-00008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600-00008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600-00008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600-00009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600-00009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600-00009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600-00009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600-00009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600-00009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600-00009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600-00009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600-00009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600-00009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600-00009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600-00009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600-00009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600-00009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600-00009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600-00009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600-0000A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600-0000A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600-0000A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600-0000A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600-0000A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6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6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6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6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6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6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6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6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6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6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6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6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6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6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6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6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6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6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6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6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6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6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6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6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6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6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6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6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6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6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6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6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6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6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6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6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6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6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6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6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6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6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6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6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6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6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6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6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6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6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6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6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6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6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6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6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6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6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6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6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6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6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6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6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6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6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6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6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6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6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6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6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6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6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6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6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6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6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6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6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6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6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6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6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6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6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6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6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6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6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6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6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6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6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6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6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6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6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6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6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6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6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6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6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6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6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6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6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6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6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600-00001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600-00001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600-00001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600-00001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600-00001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600-00001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600-00001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600-00001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600-00001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600-00001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600-00001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600-00001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600-00001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600-00002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600-00002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600-00002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600-00002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600-00002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600-00002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600-00002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600-00002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600-00002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600-00002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600-00002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600-00002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600-00002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600-00002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600-00002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600-00002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600-00003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600-00003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600-00003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600-00003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600-00003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600-00003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600-00003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600-00003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600-00003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600-00003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600-00003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600-00003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600-00003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600-00003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600-00003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600-00003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600-00004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600-00004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600-00004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600-00004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600-00004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600-00004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600-00004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600-00004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600-00004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600-00004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600-00004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600-00004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600-00004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600-00004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600-00004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600-00004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600-00005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600-00005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600-00005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600-00005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600-00005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600-00005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600-00005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600-00005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600-00005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600-00005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600-00005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600-00005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600-00005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600-00005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600-00005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600-00005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600-00006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600-00006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600-00006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600-00006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600-00006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600-00006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600-00006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600-00006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600-00006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600-00006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600-00006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600-00006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600-00006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600-00006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600-00006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600-00006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600-00007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600-00007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600-00007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600-00007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600-00007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600-00007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600-00007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600-00007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600-00007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600-00007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600-00007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600-00007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600-00007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600-00007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600-00007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600-00007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600-00008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600-00008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600-00008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600-00008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600-00008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600-00008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600-00008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600-00008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600-00008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600-00008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600-00008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600-00008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600-00008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600-00008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600-00008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600-00008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600-00009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600-00009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600-00009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600-00009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600-00009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600-00009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600-00009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600-00009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600-00009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600-00009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600-00009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600-00009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600-00009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600-00009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600-00009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600-00009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600-0000A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600-0000A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600-0000A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600-0000A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600-0000A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600-0000A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600-0000A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600-0000A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600-0000A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600-0000A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600-0000A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600-0000A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600-0000A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600-0000A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600-0000A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600-0000A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600-0000B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600-0000B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600-0000B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600-0000B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600-0000B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600-0000B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600-0000B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600-0000B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600-0000B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600-0000B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600-0000B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600-0000B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600-0000B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600-0000B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600-0000B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600-0000B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600-0000C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600-0000C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600-0000C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600-0000C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600-0000C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600-0000C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600-0000C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600-0000C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600-0000C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600-0000C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600-0000C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600-0000C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600-0000C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600-0000C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600-0000C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600-0000C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600-0000D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600-0000D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600-0000D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600-0000D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600-0000D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600-0000D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600-0000D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600-0000D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600-0000D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600-0000D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600-0000D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600-0000D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600-0000D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600-0000D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600-0000D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600-0000D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600-0000E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600-0000E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600-0000E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600-0000E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600-0000E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600-0000E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600-0000E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600-0000E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600-0000E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600-0000E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600-0000E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600-0000E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600-0000E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600-0000E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600-0000E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600-0000E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600-0000F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600-0000F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600-0000F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600-0000F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600-0000F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600-0000F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600-0000F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600-0000F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600-0000F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600-0000F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600-0000F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600-0000F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600-0000F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600-0000F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600-0000F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600-0000F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600-00000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600-00000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600-00000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600-00000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600-00000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600-00000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600-00000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600-00000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600-00000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600-00000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600-00000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600-00000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600-00000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600-00000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600-00000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600-00000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600-00001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600-00001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600-00001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600-00001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600-00001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600-00001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600-00001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600-00001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600-00001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600-00001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600-00001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600-00001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600-00001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600-00001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600-00001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600-00001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600-00002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600-00002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600-00002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600-00002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600-00002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600-00002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600-00002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600-00002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600-00002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600-00002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600-00002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600-00002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600-00002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6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6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6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6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6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6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6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6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6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6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6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6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6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6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6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6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6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6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6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6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6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6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6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6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6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6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6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6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6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6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6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6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6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6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6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6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6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6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6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6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6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6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6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6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6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6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6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6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6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6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6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6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6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6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6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6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6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6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6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6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6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6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6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6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6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6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6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6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6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6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6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6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6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6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6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6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6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6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6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6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6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6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6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6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6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6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6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6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6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6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6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6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6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6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6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6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6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6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6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6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6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6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6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6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6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6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6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6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6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6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600-00009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600-00009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600-00009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600-00009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600-00009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600-0000A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600-0000A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600-0000A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600-0000A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600-0000A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600-0000A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600-0000A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600-0000A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600-0000A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600-0000A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600-0000A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600-0000A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600-0000A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600-0000A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600-0000A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600-0000A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600-0000B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600-0000B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600-0000B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600-0000B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600-0000B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600-0000B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600-0000B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600-0000B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600-0000B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600-0000B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600-0000B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600-0000B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600-0000B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600-0000B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600-0000B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600-0000B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600-0000C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600-0000C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600-0000C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600-0000C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600-0000C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600-0000C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600-0000C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600-0000C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600-0000C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600-0000C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600-0000C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600-0000C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600-0000C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600-0000C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600-0000C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600-0000C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600-0000D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600-0000D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600-0000D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600-0000D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600-0000D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600-0000D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600-0000D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600-0000D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600-0000D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600-0000D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600-0000D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600-0000D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600-0000D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600-0000D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600-0000D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600-0000D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600-0000E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600-0000E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600-0000E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600-0000E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600-0000E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600-0000E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600-0000E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600-0000E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600-0000E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600-0000E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600-0000E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600-0000E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600-0000E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600-0000E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600-0000E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600-0000E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600-0000F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600-0000F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600-0000F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600-0000F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600-0000F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600-0000F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600-0000F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600-0000F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600-0000F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600-0000F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600-0000F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600-0000F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600-0000F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600-0000F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600-0000F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600-0000F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600-00000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600-00000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600-00000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600-00000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600-00000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600-00000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600-00000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600-00000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600-00000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600-00000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600-00000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600-00000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600-00000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600-00000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600-00000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600-00000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600-00001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600-00001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600-00001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600-00001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600-00001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600-00001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600-00001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600-00001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600-00001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600-00001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600-00001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600-00001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600-00001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600-00001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600-00001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600-00001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600-00002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600-00002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600-00002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600-00002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600-00002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600-00002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600-00002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600-00002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600-00002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600-00002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600-00002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600-00002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600-00002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600-00002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600-00002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600-00002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600-00003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600-00003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600-00003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600-00003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600-00003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600-00003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600-00003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600-00003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600-00003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600-00003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600-00003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600-00003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600-00003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600-00003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600-00003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600-00003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600-00004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600-00004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600-00004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600-00004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600-00004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600-00004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600-00004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600-00004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600-00004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600-00004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600-00004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600-00004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600-00004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600-00004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600-00004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600-00004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600-00005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600-00005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600-00005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600-00005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600-00005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600-00005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600-00005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600-00005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600-00005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600-00005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600-00005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600-00005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600-00005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600-00005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600-00005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600-00005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600-00006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600-00006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600-00006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600-00006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600-00006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600-00006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600-00006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600-00006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600-00006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600-00006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600-00006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600-00006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600-00006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600-00006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600-00006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600-00006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600-00007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600-00007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600-00007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600-00007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600-00007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600-00007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600-00007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600-00007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600-00007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600-00007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600-00007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600-00007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600-00007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600-00007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600-00007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600-00007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600-00008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600-00008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600-00008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600-00008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600-00008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600-00008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600-00008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600-00008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600-00008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600-00008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600-00008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600-00008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600-00008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600-00008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600-00008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600-00008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600-00009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600-00009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600-00009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600-00009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600-00009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600-00009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600-00009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600-00009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600-00009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600-00009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600-00009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600-00009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600-00009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600-00009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600-00009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600-00009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600-0000A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600-0000A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600-0000A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600-0000A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600-0000A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600-0000A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600-0000A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600-0000A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600-0000A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600-0000A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600-0000A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600-0000A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600-0000A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600-0000A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600-0000A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600-0000A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600-0000B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600-0000B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600-0000B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600-0000B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600-0000B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6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6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6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6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6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6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6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6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6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6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6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6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6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6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6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6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6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6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6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6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6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6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6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6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6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6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6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6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6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6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6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6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6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6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6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6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6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6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6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6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6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6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6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6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6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6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6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6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6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6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6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6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6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6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6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6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6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6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6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6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6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6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6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6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6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6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6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6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6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6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6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6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6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6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6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6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6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6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6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6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6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6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6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6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6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6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6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6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6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6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6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6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6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6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6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6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6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6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6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6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6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6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6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6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6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6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6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6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6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6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600-00002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600-00002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600-00002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600-00002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600-00002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600-00002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600-00002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600-00002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600-00002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600-00002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600-00002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600-00002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600-00002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600-00003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600-00003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600-00003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600-00003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600-00003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600-00003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600-00003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600-00003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600-00003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600-00003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600-00003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600-00003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600-00003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600-00003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600-00003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600-00003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600-00004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600-00004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600-00004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600-00004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600-00004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600-00004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600-00004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600-00004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600-00004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600-00004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600-00004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600-00004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600-00004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600-00004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600-00004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600-00004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600-00005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600-00005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600-00005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600-00005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600-00005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600-00005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600-00005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600-00005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600-00005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600-00005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600-00005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600-00005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600-00005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600-00005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600-00005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600-00005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600-00006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600-00006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600-00006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600-00006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600-00006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600-00006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600-00006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600-00006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600-00006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600-00006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600-00006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600-00006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600-00006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600-00006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600-00006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600-00006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600-00007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600-00007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600-00007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600-00007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600-00007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600-00007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600-00007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600-00007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600-00007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600-00007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600-00007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600-00007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600-00007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600-00007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600-00007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600-00007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600-00008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600-00008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600-00008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600-00008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600-00008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600-00008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600-00008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600-00008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600-00008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600-00008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600-00008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600-00008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600-00008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600-00008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600-00008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600-00008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600-00009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600-00009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600-00009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600-00009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600-00009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600-00009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600-00009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600-00009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600-00009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600-00009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600-00009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600-00009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600-00009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600-00009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600-00009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600-00009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600-0000A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600-0000A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600-0000A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600-0000A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600-0000A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600-0000A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600-0000A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600-0000A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600-0000A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600-0000A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600-0000A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600-0000A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600-0000A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600-0000A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600-0000A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600-0000A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600-0000B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600-0000B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600-0000B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600-0000B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600-0000B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600-0000B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600-0000B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600-0000B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600-0000B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600-0000B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600-0000B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600-0000B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600-0000B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600-0000B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600-0000B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600-0000B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600-0000C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600-0000C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600-0000C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600-0000C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600-0000C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600-0000C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600-0000C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600-0000C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600-0000C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600-0000C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600-0000C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600-0000C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600-0000C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600-0000C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600-0000C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600-0000C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600-0000D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600-0000D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600-0000D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600-0000D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600-0000D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600-0000D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600-0000D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600-0000D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600-0000D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600-0000D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600-0000D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600-0000D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600-0000D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600-0000D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600-0000D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600-0000D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600-0000E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600-0000E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600-0000E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600-0000E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600-0000E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600-0000E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600-0000E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600-0000E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600-0000E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600-0000E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600-0000E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600-0000E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600-0000E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600-0000E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600-0000E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600-0000E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600-0000F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600-0000F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600-0000F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600-0000F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600-0000F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600-0000F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600-0000F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600-0000F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600-0000F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600-0000F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600-0000F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600-0000F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600-0000F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600-0000F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600-0000F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600-0000F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600-00000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600-00000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600-00000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600-00000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600-00000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600-00000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600-00000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600-00000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600-00000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600-00000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600-00000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600-00000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600-00000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600-00000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600-00000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600-00000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600-00001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600-00001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600-00001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600-00001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600-00001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600-00001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600-00001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600-00001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600-00001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600-00001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600-00001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600-00001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600-00001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600-00001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600-00001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600-00001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600-00002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600-00002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600-00002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600-00002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600-00002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600-00002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600-00002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600-00002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600-00002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600-00002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600-00002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600-00002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600-00002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600-00002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600-00002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600-00002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600-00003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600-00003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600-00003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600-00003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600-00003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600-00003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600-00003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600-00003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600-00003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600-00003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600-00003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600-00003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396875</xdr:colOff>
      <xdr:row>5</xdr:row>
      <xdr:rowOff>0</xdr:rowOff>
    </xdr:from>
    <xdr:to>
      <xdr:col>4</xdr:col>
      <xdr:colOff>501650</xdr:colOff>
      <xdr:row>6</xdr:row>
      <xdr:rowOff>24031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600-00003C070000}"/>
            </a:ext>
          </a:extLst>
        </xdr:cNvPr>
        <xdr:cNvSpPr txBox="1">
          <a:spLocks noChangeArrowheads="1"/>
        </xdr:cNvSpPr>
      </xdr:nvSpPr>
      <xdr:spPr bwMode="auto">
        <a:xfrm>
          <a:off x="5140325" y="4448175"/>
          <a:ext cx="104775" cy="2240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6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6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6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6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6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6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6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6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6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6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6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6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6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6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6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6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6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6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6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6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6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6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6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6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6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6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6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6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6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6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6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6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6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6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6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6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6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6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6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6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6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6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6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6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6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6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6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6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6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6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6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6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6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6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6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6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6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6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6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6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6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6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6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6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6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6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6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6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6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6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6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6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6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6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6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6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6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6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6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6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6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6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6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6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6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6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6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6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6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6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6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6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6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6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6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6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6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6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6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6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6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6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6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6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6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6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6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6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6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6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4686300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800-0000F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800-0000F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800-0000F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800-0000F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800-0000F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800-0000F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800-0000F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800-0000F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800-0000F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800-0000F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800-0000F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800-0000F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800-0000F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800-0000F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800-0000F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800-0000F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800-00000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800-00000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800-00000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800-00000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800-00000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800-00000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800-00000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800-00000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800-00000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800-00000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800-00000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800-00000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800-00000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800-00000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800-00000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800-00000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800-00001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800-00001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800-00001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800-00001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800-00001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800-00001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800-00001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800-00001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800-00001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800-00001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800-00001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800-00001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800-00001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800-00001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800-00001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800-00001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800-00002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800-00002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800-00002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800-00002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800-00002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800-00002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800-00002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800-00002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800-00002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800-00002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800-00002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800-00002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800-00002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800-00002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800-00002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800-00002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800-00003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800-00003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800-00003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800-00003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800-00003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800-00003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800-00003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800-00003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800-00003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800-00003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800-00003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800-00003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800-00003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800-00003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800-00003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800-00003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800-00004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800-00004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800-00004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800-00004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800-00004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800-00004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800-00004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800-00004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800-00004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800-00004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800-00004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800-00004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800-00004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800-00004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800-00004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800-00004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800-00005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800-00005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800-00005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800-00005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800-00005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800-00005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800-00005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800-00005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800-00005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800-00005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800-00005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800-00005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800-00005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800-00005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800-00005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800-00005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800-00006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800-00006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800-00006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800-00006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800-00006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800-00006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800-00006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800-00006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800-00006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800-00006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800-00006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800-00006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800-00006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800-00006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800-00006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800-00006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800-00007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800-00007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800-00007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800-00007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800-00007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800-00007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800-00007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800-00007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800-00007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800-00007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800-00007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800-00007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800-00007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800-00007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800-00007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800-00007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800-00008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800-00008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800-00008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800-00008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800-00008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800-00008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800-00008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800-00008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800-00008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800-00008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800-00008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800-00008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800-00008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800-00008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800-00008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800-00008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800-00009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800-00009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800-00009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800-00009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800-00009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800-00009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800-00009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800-00009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800-00009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800-00009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800-00009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800-00009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800-00009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800-00009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800-00009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800-00009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800-0000A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800-0000A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800-0000A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800-0000A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800-0000A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800-0000A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800-0000A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800-0000A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800-0000A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800-0000A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800-0000A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800-0000A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800-0000A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800-0000A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800-0000A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800-0000A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800-0000B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800-0000B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800-0000B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800-0000B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800-0000B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800-0000B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800-0000B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800-0000B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800-0000B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800-0000B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800-0000B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800-0000B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800-0000B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800-0000B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800-0000B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800-0000B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800-0000C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800-0000C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800-0000C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800-0000C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800-0000C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800-0000C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800-0000C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800-0000C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800-0000C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800-0000C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800-0000C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800-0000C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800-0000C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800-0000C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800-0000C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800-0000C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800-0000D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800-0000D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800-0000D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800-0000D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800-0000D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800-0000D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800-0000D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800-0000D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800-0000D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800-0000D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800-0000D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800-0000D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800-0000D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800-0000D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800-0000D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800-0000D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800-0000E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800-0000E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800-0000E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800-0000E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800-0000E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800-0000E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800-0000E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800-0000E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800-0000E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800-0000E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800-0000E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800-0000E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800-0000E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800-0000E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800-0000E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800-0000E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800-0000F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800-0000F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800-0000F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800-0000F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800-0000F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800-0000F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800-0000F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800-0000F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800-0000F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800-0000F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800-0000F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800-0000F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800-0000F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800-0000F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800-0000F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800-0000F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800-00000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800-00000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800-00000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800-00000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800-00000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800-00000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800-00000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800-00000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800-00000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800-00000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800-00000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800-00000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800-00000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800-00000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800-00000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800-00000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800-00001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800-00001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800-00001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800-00001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800-00001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800-00001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800-00001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800-00001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800-00001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800-00001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800-00001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800-00001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800-00001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800-00001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800-00001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800-00001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800-00002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800-00002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800-00002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800-00002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800-00002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800-00002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800-00002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800-00002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800-00002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800-00002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800-00002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800-00002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800-00002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800-00002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800-00002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800-00002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800-00003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800-00003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800-00003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800-00003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800-00003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800-00003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800-00003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800-00003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800-00003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800-00003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800-00003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800-00003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800-00003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800-00003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800-00003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800-00003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800-00004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800-00004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800-00004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800-00004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800-00004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800-00004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800-00004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800-00004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800-00004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800-00004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800-00004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800-00004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800-00004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800-00004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800-00004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800-00004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800-00005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800-00005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800-00005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800-00005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800-00005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800-00005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800-00005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800-00005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800-00005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800-00005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800-00005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800-00005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800-00005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800-00005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800-00005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800-00005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800-00006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800-00006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800-00006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800-00006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800-00006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800-00006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800-00006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800-00006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800-00006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800-00006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800-00006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800-00006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800-00006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800-00006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800-00006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800-00006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800-00007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800-00007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800-00007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800-00007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800-00007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800-00007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800-00007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800-00007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800-00007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800-00007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800-00007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800-00007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800-00007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800-00007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800-00007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800-00007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800-00008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800-00008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800-00008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800-00008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800-00008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800-00008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800-00008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800-00008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800-00008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800-00008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800-00008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800-00008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800-00008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800-00008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800-00008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800-00008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800-00009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800-00009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800-00009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800-00009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800-00009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800-00009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800-00009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800-00009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800-00009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800-00009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800-00009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800-00009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800-00009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800-00009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800-00009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800-00009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800-0000A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800-0000A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800-0000A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800-0000A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800-0000A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800-0000A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800-0000A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800-0000A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800-0000A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800-0000A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800-0000A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800-0000A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800-0000A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800-0000A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800-0000A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800-0000A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800-0000B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800-0000B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800-0000B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800-0000B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800-0000B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800-0000B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800-0000B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800-0000B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800-0000B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800-0000B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800-0000B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800-0000B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800-0000B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800-0000B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800-0000B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800-0000B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800-0000C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800-0000C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800-0000C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800-0000C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800-0000C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800-0000C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800-0000C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800-0000C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800-0000C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800-0000C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800-0000C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800-0000C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800-0000C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800-0000C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800-0000C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800-0000C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800-0000D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800-0000D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800-0000D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800-0000D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800-0000D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800-0000D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800-0000D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800-0000D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800-0000D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800-0000D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800-0000D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800-0000D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800-0000D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800-0000D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800-0000D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800-0000D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800-0000E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800-0000E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800-0000E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800-0000E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800-0000E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800-0000E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800-0000E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800-0000E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800-0000E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800-0000E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800-0000E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800-0000E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800-0000E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800-0000E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800-0000E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800-0000E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800-0000F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800-0000F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800-0000F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800-0000F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800-0000F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800-0000F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800-0000F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800-0000F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800-0000F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800-0000F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800-0000F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800-0000F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800-0000F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800-0000F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800-0000F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800-0000F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800-00000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800-00000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800-00000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800-000003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800-000004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800-000005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800-000006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800-000007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800-000008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800-000009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800-00000A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800-00000B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800-00000C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800-00000D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800-00000E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800-00000F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800-00001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800-00001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800-00001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800-00001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800-00001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800-00001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800-00001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800-00001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800-00001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800-00001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800-00001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800-00001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800-00001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800-00001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800-00001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800-00001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800-00002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800-00002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800-00002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800-00002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800-00002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800-00002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800-00002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800-00002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800-00002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800-00002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800-00002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800-00002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800-00002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800-00002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800-00002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800-00002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800-00003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800-00003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800-00003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800-00003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800-00003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800-00003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800-00003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800-00003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800-00003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800-00003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800-00003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800-00003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800-00003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800-00003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800-00003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800-00003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800-00004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800-00004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800-00004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800-00004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800-00004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800-00004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800-00004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800-00004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800-00004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800-00004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800-00004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800-00004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800-00004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800-00004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800-00004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800-00004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800-00005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800-00005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800-00005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800-00005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800-00005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800-00005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800-00005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800-00005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800-00005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800-00005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800-00005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800-00005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800-00005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800-00005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800-00005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800-00005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800-00006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800-00006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800-00006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800-00006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800-00006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800-00006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800-00006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800-00006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800-00006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800-00006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800-00006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800-00006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800-00006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800-00006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800-00006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800-00006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800-00007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800-00007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800-00007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800-00007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800-00007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800-00007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800-00007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800-00007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800-00007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800-00007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800-00007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800-00007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800-00007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800-00007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800-00007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800-00007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800-00008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800-00008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800-00008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800-00008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800-00008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800-00008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800-00008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800-00008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800-00008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800-00008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800-00008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800-00008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800-00008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800-00008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800-00008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800-00008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800-00009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800-00009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800-00009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800-00009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800-00009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800-00009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800-00009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800-00009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800-00009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800-00009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800-00009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800-00009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800-00009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800-00009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800-00009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800-00009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800-0000A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800-0000A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800-0000A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800-0000A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800-0000A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800-0000A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800-0000A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800-0000A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800-0000A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800-0000A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800-0000A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800-0000A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800-0000A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800-0000A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800-0000A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800-0000A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800-0000B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800-0000B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800-0000B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800-0000B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800-0000B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800-0000B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800-0000B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800-0000B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800-0000B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800-0000B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800-0000B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800-0000B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800-0000B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800-0000B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800-0000B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800-0000B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800-0000C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800-0000C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800-0000C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800-0000C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800-0000C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800-0000C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800-0000C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800-0000C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800-0000C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800-0000C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800-0000C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800-0000C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800-0000C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800-0000C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800-0000C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800-0000C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800-0000D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800-0000D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800-0000D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800-0000D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800-0000D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800-0000D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800-0000D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800-0000D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800-0000D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800-0000D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800-0000D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800-0000D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800-0000D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800-0000D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800-0000D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800-0000D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800-0000E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800-0000E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800-0000E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800-0000E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800-0000E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800-0000E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800-0000E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800-0000E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800-0000E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800-0000E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800-0000E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800-0000E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800-0000E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800-0000E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800-0000E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800-0000E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800-0000F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800-0000F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800-0000F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800-0000F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800-0000F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800-0000F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800-0000F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800-0000F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800-0000F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800-0000F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800-0000F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800-0000F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800-0000F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800-0000F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800-0000F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800-0000F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800-00000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800-00000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800-00000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800-00000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800-00000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800-00000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800-00000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800-00000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800-00000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800-00000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800-00000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800-00000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800-00000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800-00000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800-00000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800-00000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800-00001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800-00001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800-00001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800-00001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800-00001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800-00001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800-00001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800-00001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800-00001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800-00001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800-00001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800-00001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800-00001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800-00001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800-00001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800-00001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800-00002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800-00002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800-00002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800-00002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800-00002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800-00002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800-00002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800-00002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800-00002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800-00002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800-00002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800-00002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800-00002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800-00002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800-00002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800-00002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800-00003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800-00003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800-00003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800-00003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800-00003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800-00003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800-00003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800-00003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800-00003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800-00003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800-00003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800-00003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800-00003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800-00003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800-00003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800-00003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800-00004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800-00004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800-00004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800-00004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800-00004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800-00004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800-00004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800-00004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800-00004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800-00004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800-00004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800-00004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800-00004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800-00004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800-00004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800-00004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800-00005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800-00005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800-00005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800-00005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800-00005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800-00005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800-00005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800-00005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800-00005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800-00005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800-00005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800-00005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800-00005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800-00005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800-00005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800-00005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800-00006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800-00006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800-00006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800-00006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800-00006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800-00006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800-00006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800-00006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800-00006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800-00006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800-00006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800-00006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800-00006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800-00006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800-00006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800-00006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800-00007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800-00007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800-00007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800-00007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800-00007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800-00007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800-00007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800-00007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800-00007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800-00007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800-00007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800-00007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800-00007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800-00007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800-00007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800-00007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800-00008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800-00008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800-00008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800-00008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800-00008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800-00008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800-00008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800-00008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800-00008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800-00008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800-00008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800-00008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800-00008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800-00008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800-00008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800-00008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800-00009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800-00009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800-00009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800-00009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800-00009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800-00009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800-00009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800-00009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800-00009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800-00009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800-00009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800-00009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800-00009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800-00009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800-00009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800-00009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800-0000A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800-0000A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800-0000A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800-0000A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800-0000A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800-0000A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800-0000A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800-0000A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800-0000A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800-0000A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800-0000A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800-0000A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800-0000A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800-0000A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800-0000A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800-0000A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800-0000B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800-0000B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800-0000B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800-0000B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800-0000B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800-0000B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800-0000B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800-0000B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800-0000B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800-0000B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800-0000B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800-0000B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800-0000B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800-0000B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800-0000B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800-0000B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800-0000C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800-0000C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800-0000C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800-0000C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800-0000C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800-0000C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800-0000C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800-0000C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800-0000C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800-0000C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800-0000C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800-0000C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800-0000C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800-0000C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800-0000C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800-0000C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800-0000D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800-0000D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800-0000D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800-0000D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800-0000D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800-0000D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800-0000D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800-0000D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800-0000D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800-0000D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800-0000D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800-0000D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800-0000D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800-0000D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800-0000D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800-0000D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800-0000E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800-0000E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800-0000E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800-0000E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800-0000E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800-0000E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800-0000E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800-0000E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800-0000E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800-0000E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800-0000E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800-0000E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800-0000E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800-0000E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800-0000E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800-0000E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800-0000F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800-0000F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800-0000F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800-0000F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800-0000F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800-0000F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800-0000F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800-0000F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800-0000F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800-0000F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800-0000F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800-0000F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800-0000F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800-0000F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800-0000F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800-0000F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800-00000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800-00000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800-00000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800-00000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800-00000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800-00000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800-00000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800-00000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800-00000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800-00000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800-00000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800-00000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800-00000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800-00000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800-00000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800-00000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800-00001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800-00001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800-00001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800-00001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800-00001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800-00001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800-00001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800-00001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800-00001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800-00001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800-00001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800-00001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800-00001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800-00001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800-00001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800-00001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800-00002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800-00002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800-00002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800-00002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800-00002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800-00002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800-00002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800-00002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800-00002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800-00002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800-00002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800-00002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800-00002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800-00002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800-00002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800-00002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800-00003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800-00003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800-00003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800-00003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800-00003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800-00003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800-00003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800-00003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800-00003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800-00003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800-00003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800-00003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800-00003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800-00003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800-00003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800-00003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800-00004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800-00004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800-00004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800-00004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800-00004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800-00004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800-00004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800-00004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800-00004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800-00004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800-00004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800-00004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800-00004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800-00004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800-00004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800-00004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800-00005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800-00005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800-00005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800-00005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800-00005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800-00005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800-00005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800-00005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800-00005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800-00005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800-00005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800-00005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800-00005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800-00005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800-00005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800-00005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800-00006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800-00006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800-00006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800-00006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800-00006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800-00006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800-00006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800-00006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800-00006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800-00006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800-00006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800-00006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800-00006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800-00006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800-00006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800-00006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800-00007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800-00007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800-00007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800-00007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800-00007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800-00007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800-00007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800-00007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800-00007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800-00007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800-00007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800-00007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800-00007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800-00007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800-00007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800-00007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800-00008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800-00008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800-00008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800-00008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800-00008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800-00008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800-00008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800-00008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800-00008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800-00008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800-00008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800-00008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800-00008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800-00008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800-00008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800-00008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800-00009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800-00009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800-00009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800-00009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800-00009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800-00009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800-00009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800-00009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800-00009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800-00009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800-00009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800-00009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800-00009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800-00009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800-00009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800-00009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800-0000A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800-0000A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800-0000A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800-0000A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800-0000A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800-0000A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800-0000A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800-0000A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800-0000A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800-0000A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800-0000A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800-0000A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800-0000A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800-0000A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800-0000A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800-0000A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800-0000B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800-0000B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800-0000B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800-0000B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800-0000B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800-0000B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800-0000B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800-0000B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800-0000B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800-0000B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800-0000B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800-0000B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800-0000B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800-0000B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800-0000B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800-0000B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800-0000C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800-0000C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800-0000C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800-0000C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800-0000C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800-0000C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800-0000C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800-0000C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800-0000C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800-0000C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800-0000C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800-0000C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800-0000C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800-0000C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800-0000C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800-0000C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800-0000D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800-0000D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800-0000D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800-0000D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800-0000D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800-0000D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800-0000D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800-0000D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800-0000D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800-0000D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800-0000D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800-0000D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800-0000D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800-0000D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800-0000D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800-0000D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800-0000E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800-0000E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800-0000E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800-0000E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800-0000E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800-0000E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800-0000E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800-0000E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800-0000E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800-0000E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800-0000E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800-0000E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800-0000E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800-0000E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800-0000E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800-0000E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800-0000F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800-0000F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800-0000F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800-0000F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800-0000F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800-0000F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800-0000F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800-0000F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800-0000F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800-0000F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800-0000F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800-0000F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800-0000F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800-0000F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800-0000F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800-0000F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800-00000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800-00000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800-00000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800-00000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800-00000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800-00000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800-00000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800-00000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800-00000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800-00000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800-00000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800-00000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800-00000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800-00000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800-00000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800-00000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800-00001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800-00001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800-00001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800-00001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800-00001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800-00001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800-00001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800-00001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800-00001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800-00001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800-00001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800-00001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800-00001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800-00001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800-00001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800-00001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800-00002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800-00002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800-00002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800-00002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800-00002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800-00002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800-00002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800-00002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800-00002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800-00002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800-00002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800-00002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800-00002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800-00002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800-00002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800-00002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800-00003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800-00003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800-00003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800-00003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800-00003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800-00003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800-00003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800-00003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800-00003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800-00003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800-00003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800-00003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800-00003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800-00003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800-00003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800-00003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800-00004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800-00004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800-00004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800-00004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800-00004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800-00004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800-00004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800-00004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800-00004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800-00004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800-00004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800-00004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800-00004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800-00004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800-00004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800-00004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800-00005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800-00005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800-00005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800-00005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800-00005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800-00005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800-00005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800-00005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800-00005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800-00005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800-00005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800-00005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800-00005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800-00005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800-00005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800-00005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800-00006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800-00006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800-00006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800-00006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800-00006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800-00006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800-00006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800-00006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800-00006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800-00006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800-00006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800-00006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800-00006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800-00006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800-00006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800-00006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800-00007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800-00007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800-00007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800-00007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800-00007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800-00007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800-00007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800-00007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800-00007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800-00007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800-00007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800-00007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800-00007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800-00007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800-00007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800-00007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800-00008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800-00008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800-00008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800-00008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800-00008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800-00008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800-00008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800-00008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800-00008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800-00008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800-00008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800-00008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800-00008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800-00008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800-00008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800-00008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800-00009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800-00009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800-00009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800-00009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800-00009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800-00009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800-00009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800-00009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800-00009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800-00009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800-00009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800-00009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800-00009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800-00009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800-00009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800-00009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800-0000A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800-0000A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800-0000A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800-0000A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800-0000A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800-0000A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800-0000A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800-0000A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800-0000A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800-0000A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800-0000A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800-0000A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800-0000A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800-0000A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800-0000A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800-0000A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800-0000B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800-0000B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800-0000B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800-0000B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800-0000B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800-0000B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800-0000B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800-0000B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800-0000B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800-0000B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800-0000B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800-0000B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800-0000B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800-0000B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800-0000B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800-0000B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800-0000C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800-0000C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800-0000C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800-0000C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800-0000C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800-0000C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800-0000C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800-0000C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800-0000C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800-0000C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800-0000C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800-0000C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800-0000C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800-0000C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800-0000C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800-0000C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800-0000D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800-0000D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800-0000D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800-0000D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800-0000D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800-0000D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800-0000D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800-0000D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800-0000D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800-0000D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800-0000D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800-0000D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800-0000D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800-0000D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800-0000D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800-0000D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800-0000E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800-0000E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800-0000E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800-0000E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800-0000E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800-0000E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800-0000E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800-0000E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800-0000E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800-0000E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800-0000E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800-0000E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800-0000E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800-0000E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800-0000E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800-0000E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800-0000F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800-0000F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800-0000F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800-0000F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800-0000F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800-0000F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800-0000F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800-0000F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800-0000F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800-0000F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800-0000F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800-0000F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800-0000F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800-0000F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800-0000F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800-0000F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800-00000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800-00000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800-00000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800-00000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800-00000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800-00000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800-00000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800-00000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800-00000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800-00000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800-00000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800-00000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800-00000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800-00000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800-00000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800-00000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800-00001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800-00001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800-00001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800-00001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800-00001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800-00001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800-00001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800-00001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800-00001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800-00001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800-00001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800-00001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800-00001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800-00001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800-00001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800-00001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800-00002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800-00002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800-00002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800-00002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800-00002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800-00002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800-00002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800-00002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800-00002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800-00002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800-00002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800-00002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800-00002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800-00002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800-00002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800-00002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800-00003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800-00003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800-00003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800-00003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800-00003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800-00003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800-00003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800-00003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800-00003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800-00003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800-00003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800-00003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800-00003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800-00003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800-00003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800-00003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800-00004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800-00004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800-00004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800-00004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800-00004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800-00004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800-00004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800-00004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800-00004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800-00004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800-00004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800-00004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800-00004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800-00004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800-00004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800-00004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800-00005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800-00005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800-00005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800-00005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800-00005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800-00005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800-00005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800-00005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800-00005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800-00005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800-00005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800-00005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800-00005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800-00005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800-00005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800-00005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800-00006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800-00006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800-00006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800-00006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800-00006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800-00006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800-00006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800-00006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800-00006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800-00006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800-00006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800-00006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800-00006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800-00006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800-00006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800-00006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800-00007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800-00007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800-00007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800-00007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800-00007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800-00007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800-00007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800-00007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800-00007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800-00007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800-00007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800-00007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800-00007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800-00007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800-00007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800-00007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800-00008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800-00008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800-00008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800-00008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800-00008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800-00008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800-00008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800-00008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800-00008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800-00008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800-00008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800-00008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800-00008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800-00008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800-00008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800-00008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800-00009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800-00009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800-00009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800-00009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800-00009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800-00009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800-00009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800-00009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800-00009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800-00009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800-00009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800-00009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800-00009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800-00009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800-00009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800-00009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800-0000A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800-0000A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800-0000A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800-0000A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800-0000A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800-0000A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800-0000A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800-0000A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800-0000A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800-0000A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800-0000A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3" name="Text Box 28">
          <a:extLst>
            <a:ext uri="{FF2B5EF4-FFF2-40B4-BE49-F238E27FC236}">
              <a16:creationId xmlns:a16="http://schemas.microsoft.com/office/drawing/2014/main" id="{00000000-0008-0000-0800-0000A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4" name="Text Box 29">
          <a:extLst>
            <a:ext uri="{FF2B5EF4-FFF2-40B4-BE49-F238E27FC236}">
              <a16:creationId xmlns:a16="http://schemas.microsoft.com/office/drawing/2014/main" id="{00000000-0008-0000-0800-0000A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5" name="Text Box 30">
          <a:extLst>
            <a:ext uri="{FF2B5EF4-FFF2-40B4-BE49-F238E27FC236}">
              <a16:creationId xmlns:a16="http://schemas.microsoft.com/office/drawing/2014/main" id="{00000000-0008-0000-0800-0000A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6" name="Text Box 31">
          <a:extLst>
            <a:ext uri="{FF2B5EF4-FFF2-40B4-BE49-F238E27FC236}">
              <a16:creationId xmlns:a16="http://schemas.microsoft.com/office/drawing/2014/main" id="{00000000-0008-0000-0800-0000A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7" name="Text Box 32">
          <a:extLst>
            <a:ext uri="{FF2B5EF4-FFF2-40B4-BE49-F238E27FC236}">
              <a16:creationId xmlns:a16="http://schemas.microsoft.com/office/drawing/2014/main" id="{00000000-0008-0000-0800-0000A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8" name="Text Box 33">
          <a:extLst>
            <a:ext uri="{FF2B5EF4-FFF2-40B4-BE49-F238E27FC236}">
              <a16:creationId xmlns:a16="http://schemas.microsoft.com/office/drawing/2014/main" id="{00000000-0008-0000-0800-0000B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9" name="Text Box 34">
          <a:extLst>
            <a:ext uri="{FF2B5EF4-FFF2-40B4-BE49-F238E27FC236}">
              <a16:creationId xmlns:a16="http://schemas.microsoft.com/office/drawing/2014/main" id="{00000000-0008-0000-0800-0000B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0" name="Text Box 35">
          <a:extLst>
            <a:ext uri="{FF2B5EF4-FFF2-40B4-BE49-F238E27FC236}">
              <a16:creationId xmlns:a16="http://schemas.microsoft.com/office/drawing/2014/main" id="{00000000-0008-0000-0800-0000B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1" name="Text Box 36">
          <a:extLst>
            <a:ext uri="{FF2B5EF4-FFF2-40B4-BE49-F238E27FC236}">
              <a16:creationId xmlns:a16="http://schemas.microsoft.com/office/drawing/2014/main" id="{00000000-0008-0000-0800-0000B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2" name="Text Box 37">
          <a:extLst>
            <a:ext uri="{FF2B5EF4-FFF2-40B4-BE49-F238E27FC236}">
              <a16:creationId xmlns:a16="http://schemas.microsoft.com/office/drawing/2014/main" id="{00000000-0008-0000-0800-0000B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3" name="Text Box 38">
          <a:extLst>
            <a:ext uri="{FF2B5EF4-FFF2-40B4-BE49-F238E27FC236}">
              <a16:creationId xmlns:a16="http://schemas.microsoft.com/office/drawing/2014/main" id="{00000000-0008-0000-0800-0000B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4" name="Text Box 39">
          <a:extLst>
            <a:ext uri="{FF2B5EF4-FFF2-40B4-BE49-F238E27FC236}">
              <a16:creationId xmlns:a16="http://schemas.microsoft.com/office/drawing/2014/main" id="{00000000-0008-0000-0800-0000B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5" name="Text Box 40">
          <a:extLst>
            <a:ext uri="{FF2B5EF4-FFF2-40B4-BE49-F238E27FC236}">
              <a16:creationId xmlns:a16="http://schemas.microsoft.com/office/drawing/2014/main" id="{00000000-0008-0000-0800-0000B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6" name="Text Box 41">
          <a:extLst>
            <a:ext uri="{FF2B5EF4-FFF2-40B4-BE49-F238E27FC236}">
              <a16:creationId xmlns:a16="http://schemas.microsoft.com/office/drawing/2014/main" id="{00000000-0008-0000-0800-0000B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7" name="Text Box 42">
          <a:extLst>
            <a:ext uri="{FF2B5EF4-FFF2-40B4-BE49-F238E27FC236}">
              <a16:creationId xmlns:a16="http://schemas.microsoft.com/office/drawing/2014/main" id="{00000000-0008-0000-0800-0000B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8" name="Text Box 43">
          <a:extLst>
            <a:ext uri="{FF2B5EF4-FFF2-40B4-BE49-F238E27FC236}">
              <a16:creationId xmlns:a16="http://schemas.microsoft.com/office/drawing/2014/main" id="{00000000-0008-0000-0800-0000B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9" name="Text Box 44">
          <a:extLst>
            <a:ext uri="{FF2B5EF4-FFF2-40B4-BE49-F238E27FC236}">
              <a16:creationId xmlns:a16="http://schemas.microsoft.com/office/drawing/2014/main" id="{00000000-0008-0000-0800-0000B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0" name="Text Box 45">
          <a:extLst>
            <a:ext uri="{FF2B5EF4-FFF2-40B4-BE49-F238E27FC236}">
              <a16:creationId xmlns:a16="http://schemas.microsoft.com/office/drawing/2014/main" id="{00000000-0008-0000-0800-0000B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1" name="Text Box 46">
          <a:extLst>
            <a:ext uri="{FF2B5EF4-FFF2-40B4-BE49-F238E27FC236}">
              <a16:creationId xmlns:a16="http://schemas.microsoft.com/office/drawing/2014/main" id="{00000000-0008-0000-0800-0000B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2" name="Text Box 47">
          <a:extLst>
            <a:ext uri="{FF2B5EF4-FFF2-40B4-BE49-F238E27FC236}">
              <a16:creationId xmlns:a16="http://schemas.microsoft.com/office/drawing/2014/main" id="{00000000-0008-0000-0800-0000B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3" name="Text Box 48">
          <a:extLst>
            <a:ext uri="{FF2B5EF4-FFF2-40B4-BE49-F238E27FC236}">
              <a16:creationId xmlns:a16="http://schemas.microsoft.com/office/drawing/2014/main" id="{00000000-0008-0000-0800-0000B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4" name="Text Box 49">
          <a:extLst>
            <a:ext uri="{FF2B5EF4-FFF2-40B4-BE49-F238E27FC236}">
              <a16:creationId xmlns:a16="http://schemas.microsoft.com/office/drawing/2014/main" id="{00000000-0008-0000-0800-0000C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5" name="Text Box 50">
          <a:extLst>
            <a:ext uri="{FF2B5EF4-FFF2-40B4-BE49-F238E27FC236}">
              <a16:creationId xmlns:a16="http://schemas.microsoft.com/office/drawing/2014/main" id="{00000000-0008-0000-0800-0000C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6" name="Text Box 51">
          <a:extLst>
            <a:ext uri="{FF2B5EF4-FFF2-40B4-BE49-F238E27FC236}">
              <a16:creationId xmlns:a16="http://schemas.microsoft.com/office/drawing/2014/main" id="{00000000-0008-0000-0800-0000C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7" name="Text Box 52">
          <a:extLst>
            <a:ext uri="{FF2B5EF4-FFF2-40B4-BE49-F238E27FC236}">
              <a16:creationId xmlns:a16="http://schemas.microsoft.com/office/drawing/2014/main" id="{00000000-0008-0000-0800-0000C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8" name="Text Box 53">
          <a:extLst>
            <a:ext uri="{FF2B5EF4-FFF2-40B4-BE49-F238E27FC236}">
              <a16:creationId xmlns:a16="http://schemas.microsoft.com/office/drawing/2014/main" id="{00000000-0008-0000-0800-0000C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9" name="Text Box 54">
          <a:extLst>
            <a:ext uri="{FF2B5EF4-FFF2-40B4-BE49-F238E27FC236}">
              <a16:creationId xmlns:a16="http://schemas.microsoft.com/office/drawing/2014/main" id="{00000000-0008-0000-0800-0000C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0" name="Text Box 55">
          <a:extLst>
            <a:ext uri="{FF2B5EF4-FFF2-40B4-BE49-F238E27FC236}">
              <a16:creationId xmlns:a16="http://schemas.microsoft.com/office/drawing/2014/main" id="{00000000-0008-0000-0800-0000C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1" name="Text Box 56">
          <a:extLst>
            <a:ext uri="{FF2B5EF4-FFF2-40B4-BE49-F238E27FC236}">
              <a16:creationId xmlns:a16="http://schemas.microsoft.com/office/drawing/2014/main" id="{00000000-0008-0000-0800-0000C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2" name="Text Box 57">
          <a:extLst>
            <a:ext uri="{FF2B5EF4-FFF2-40B4-BE49-F238E27FC236}">
              <a16:creationId xmlns:a16="http://schemas.microsoft.com/office/drawing/2014/main" id="{00000000-0008-0000-0800-0000C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3" name="Text Box 58">
          <a:extLst>
            <a:ext uri="{FF2B5EF4-FFF2-40B4-BE49-F238E27FC236}">
              <a16:creationId xmlns:a16="http://schemas.microsoft.com/office/drawing/2014/main" id="{00000000-0008-0000-0800-0000C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4" name="Text Box 59">
          <a:extLst>
            <a:ext uri="{FF2B5EF4-FFF2-40B4-BE49-F238E27FC236}">
              <a16:creationId xmlns:a16="http://schemas.microsoft.com/office/drawing/2014/main" id="{00000000-0008-0000-0800-0000C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5" name="Text Box 60">
          <a:extLst>
            <a:ext uri="{FF2B5EF4-FFF2-40B4-BE49-F238E27FC236}">
              <a16:creationId xmlns:a16="http://schemas.microsoft.com/office/drawing/2014/main" id="{00000000-0008-0000-0800-0000C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6" name="Text Box 61">
          <a:extLst>
            <a:ext uri="{FF2B5EF4-FFF2-40B4-BE49-F238E27FC236}">
              <a16:creationId xmlns:a16="http://schemas.microsoft.com/office/drawing/2014/main" id="{00000000-0008-0000-0800-0000C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7" name="Text Box 62">
          <a:extLst>
            <a:ext uri="{FF2B5EF4-FFF2-40B4-BE49-F238E27FC236}">
              <a16:creationId xmlns:a16="http://schemas.microsoft.com/office/drawing/2014/main" id="{00000000-0008-0000-0800-0000C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8" name="Text Box 63">
          <a:extLst>
            <a:ext uri="{FF2B5EF4-FFF2-40B4-BE49-F238E27FC236}">
              <a16:creationId xmlns:a16="http://schemas.microsoft.com/office/drawing/2014/main" id="{00000000-0008-0000-0800-0000C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9" name="Text Box 64">
          <a:extLst>
            <a:ext uri="{FF2B5EF4-FFF2-40B4-BE49-F238E27FC236}">
              <a16:creationId xmlns:a16="http://schemas.microsoft.com/office/drawing/2014/main" id="{00000000-0008-0000-0800-0000C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0" name="Text Box 65">
          <a:extLst>
            <a:ext uri="{FF2B5EF4-FFF2-40B4-BE49-F238E27FC236}">
              <a16:creationId xmlns:a16="http://schemas.microsoft.com/office/drawing/2014/main" id="{00000000-0008-0000-0800-0000D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1" name="Text Box 66">
          <a:extLst>
            <a:ext uri="{FF2B5EF4-FFF2-40B4-BE49-F238E27FC236}">
              <a16:creationId xmlns:a16="http://schemas.microsoft.com/office/drawing/2014/main" id="{00000000-0008-0000-0800-0000D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2" name="Text Box 67">
          <a:extLst>
            <a:ext uri="{FF2B5EF4-FFF2-40B4-BE49-F238E27FC236}">
              <a16:creationId xmlns:a16="http://schemas.microsoft.com/office/drawing/2014/main" id="{00000000-0008-0000-0800-0000D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3" name="Text Box 68">
          <a:extLst>
            <a:ext uri="{FF2B5EF4-FFF2-40B4-BE49-F238E27FC236}">
              <a16:creationId xmlns:a16="http://schemas.microsoft.com/office/drawing/2014/main" id="{00000000-0008-0000-0800-0000D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4" name="Text Box 69">
          <a:extLst>
            <a:ext uri="{FF2B5EF4-FFF2-40B4-BE49-F238E27FC236}">
              <a16:creationId xmlns:a16="http://schemas.microsoft.com/office/drawing/2014/main" id="{00000000-0008-0000-0800-0000D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5" name="Text Box 70">
          <a:extLst>
            <a:ext uri="{FF2B5EF4-FFF2-40B4-BE49-F238E27FC236}">
              <a16:creationId xmlns:a16="http://schemas.microsoft.com/office/drawing/2014/main" id="{00000000-0008-0000-0800-0000D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6" name="Text Box 71">
          <a:extLst>
            <a:ext uri="{FF2B5EF4-FFF2-40B4-BE49-F238E27FC236}">
              <a16:creationId xmlns:a16="http://schemas.microsoft.com/office/drawing/2014/main" id="{00000000-0008-0000-0800-0000D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7" name="Text Box 72">
          <a:extLst>
            <a:ext uri="{FF2B5EF4-FFF2-40B4-BE49-F238E27FC236}">
              <a16:creationId xmlns:a16="http://schemas.microsoft.com/office/drawing/2014/main" id="{00000000-0008-0000-0800-0000D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8" name="Text Box 73">
          <a:extLst>
            <a:ext uri="{FF2B5EF4-FFF2-40B4-BE49-F238E27FC236}">
              <a16:creationId xmlns:a16="http://schemas.microsoft.com/office/drawing/2014/main" id="{00000000-0008-0000-0800-0000D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9" name="Text Box 74">
          <a:extLst>
            <a:ext uri="{FF2B5EF4-FFF2-40B4-BE49-F238E27FC236}">
              <a16:creationId xmlns:a16="http://schemas.microsoft.com/office/drawing/2014/main" id="{00000000-0008-0000-0800-0000D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0" name="Text Box 75">
          <a:extLst>
            <a:ext uri="{FF2B5EF4-FFF2-40B4-BE49-F238E27FC236}">
              <a16:creationId xmlns:a16="http://schemas.microsoft.com/office/drawing/2014/main" id="{00000000-0008-0000-0800-0000D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1" name="Text Box 76">
          <a:extLst>
            <a:ext uri="{FF2B5EF4-FFF2-40B4-BE49-F238E27FC236}">
              <a16:creationId xmlns:a16="http://schemas.microsoft.com/office/drawing/2014/main" id="{00000000-0008-0000-0800-0000D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2" name="Text Box 77">
          <a:extLst>
            <a:ext uri="{FF2B5EF4-FFF2-40B4-BE49-F238E27FC236}">
              <a16:creationId xmlns:a16="http://schemas.microsoft.com/office/drawing/2014/main" id="{00000000-0008-0000-0800-0000D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3" name="Text Box 78">
          <a:extLst>
            <a:ext uri="{FF2B5EF4-FFF2-40B4-BE49-F238E27FC236}">
              <a16:creationId xmlns:a16="http://schemas.microsoft.com/office/drawing/2014/main" id="{00000000-0008-0000-0800-0000D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4" name="Text Box 79">
          <a:extLst>
            <a:ext uri="{FF2B5EF4-FFF2-40B4-BE49-F238E27FC236}">
              <a16:creationId xmlns:a16="http://schemas.microsoft.com/office/drawing/2014/main" id="{00000000-0008-0000-0800-0000D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5" name="Text Box 80">
          <a:extLst>
            <a:ext uri="{FF2B5EF4-FFF2-40B4-BE49-F238E27FC236}">
              <a16:creationId xmlns:a16="http://schemas.microsoft.com/office/drawing/2014/main" id="{00000000-0008-0000-0800-0000D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6" name="Text Box 81">
          <a:extLst>
            <a:ext uri="{FF2B5EF4-FFF2-40B4-BE49-F238E27FC236}">
              <a16:creationId xmlns:a16="http://schemas.microsoft.com/office/drawing/2014/main" id="{00000000-0008-0000-0800-0000E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7" name="Text Box 82">
          <a:extLst>
            <a:ext uri="{FF2B5EF4-FFF2-40B4-BE49-F238E27FC236}">
              <a16:creationId xmlns:a16="http://schemas.microsoft.com/office/drawing/2014/main" id="{00000000-0008-0000-0800-0000E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8" name="Text Box 83">
          <a:extLst>
            <a:ext uri="{FF2B5EF4-FFF2-40B4-BE49-F238E27FC236}">
              <a16:creationId xmlns:a16="http://schemas.microsoft.com/office/drawing/2014/main" id="{00000000-0008-0000-0800-0000E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9" name="Text Box 84">
          <a:extLst>
            <a:ext uri="{FF2B5EF4-FFF2-40B4-BE49-F238E27FC236}">
              <a16:creationId xmlns:a16="http://schemas.microsoft.com/office/drawing/2014/main" id="{00000000-0008-0000-0800-0000E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0" name="Text Box 85">
          <a:extLst>
            <a:ext uri="{FF2B5EF4-FFF2-40B4-BE49-F238E27FC236}">
              <a16:creationId xmlns:a16="http://schemas.microsoft.com/office/drawing/2014/main" id="{00000000-0008-0000-0800-0000E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1" name="Text Box 86">
          <a:extLst>
            <a:ext uri="{FF2B5EF4-FFF2-40B4-BE49-F238E27FC236}">
              <a16:creationId xmlns:a16="http://schemas.microsoft.com/office/drawing/2014/main" id="{00000000-0008-0000-0800-0000E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2" name="Text Box 87">
          <a:extLst>
            <a:ext uri="{FF2B5EF4-FFF2-40B4-BE49-F238E27FC236}">
              <a16:creationId xmlns:a16="http://schemas.microsoft.com/office/drawing/2014/main" id="{00000000-0008-0000-0800-0000E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3" name="Text Box 88">
          <a:extLst>
            <a:ext uri="{FF2B5EF4-FFF2-40B4-BE49-F238E27FC236}">
              <a16:creationId xmlns:a16="http://schemas.microsoft.com/office/drawing/2014/main" id="{00000000-0008-0000-0800-0000E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4" name="Text Box 89">
          <a:extLst>
            <a:ext uri="{FF2B5EF4-FFF2-40B4-BE49-F238E27FC236}">
              <a16:creationId xmlns:a16="http://schemas.microsoft.com/office/drawing/2014/main" id="{00000000-0008-0000-0800-0000E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5" name="Text Box 90">
          <a:extLst>
            <a:ext uri="{FF2B5EF4-FFF2-40B4-BE49-F238E27FC236}">
              <a16:creationId xmlns:a16="http://schemas.microsoft.com/office/drawing/2014/main" id="{00000000-0008-0000-0800-0000E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6" name="Text Box 91">
          <a:extLst>
            <a:ext uri="{FF2B5EF4-FFF2-40B4-BE49-F238E27FC236}">
              <a16:creationId xmlns:a16="http://schemas.microsoft.com/office/drawing/2014/main" id="{00000000-0008-0000-0800-0000E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7" name="Text Box 92">
          <a:extLst>
            <a:ext uri="{FF2B5EF4-FFF2-40B4-BE49-F238E27FC236}">
              <a16:creationId xmlns:a16="http://schemas.microsoft.com/office/drawing/2014/main" id="{00000000-0008-0000-0800-0000E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8" name="Text Box 93">
          <a:extLst>
            <a:ext uri="{FF2B5EF4-FFF2-40B4-BE49-F238E27FC236}">
              <a16:creationId xmlns:a16="http://schemas.microsoft.com/office/drawing/2014/main" id="{00000000-0008-0000-0800-0000E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9" name="Text Box 94">
          <a:extLst>
            <a:ext uri="{FF2B5EF4-FFF2-40B4-BE49-F238E27FC236}">
              <a16:creationId xmlns:a16="http://schemas.microsoft.com/office/drawing/2014/main" id="{00000000-0008-0000-0800-0000E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0" name="Text Box 95">
          <a:extLst>
            <a:ext uri="{FF2B5EF4-FFF2-40B4-BE49-F238E27FC236}">
              <a16:creationId xmlns:a16="http://schemas.microsoft.com/office/drawing/2014/main" id="{00000000-0008-0000-0800-0000E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1" name="Text Box 96">
          <a:extLst>
            <a:ext uri="{FF2B5EF4-FFF2-40B4-BE49-F238E27FC236}">
              <a16:creationId xmlns:a16="http://schemas.microsoft.com/office/drawing/2014/main" id="{00000000-0008-0000-0800-0000E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2" name="Text Box 97">
          <a:extLst>
            <a:ext uri="{FF2B5EF4-FFF2-40B4-BE49-F238E27FC236}">
              <a16:creationId xmlns:a16="http://schemas.microsoft.com/office/drawing/2014/main" id="{00000000-0008-0000-0800-0000F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3" name="Text Box 100">
          <a:extLst>
            <a:ext uri="{FF2B5EF4-FFF2-40B4-BE49-F238E27FC236}">
              <a16:creationId xmlns:a16="http://schemas.microsoft.com/office/drawing/2014/main" id="{00000000-0008-0000-0800-0000F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4" name="Text Box 101">
          <a:extLst>
            <a:ext uri="{FF2B5EF4-FFF2-40B4-BE49-F238E27FC236}">
              <a16:creationId xmlns:a16="http://schemas.microsoft.com/office/drawing/2014/main" id="{00000000-0008-0000-0800-0000F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5" name="Text Box 102">
          <a:extLst>
            <a:ext uri="{FF2B5EF4-FFF2-40B4-BE49-F238E27FC236}">
              <a16:creationId xmlns:a16="http://schemas.microsoft.com/office/drawing/2014/main" id="{00000000-0008-0000-0800-0000F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6" name="Text Box 103">
          <a:extLst>
            <a:ext uri="{FF2B5EF4-FFF2-40B4-BE49-F238E27FC236}">
              <a16:creationId xmlns:a16="http://schemas.microsoft.com/office/drawing/2014/main" id="{00000000-0008-0000-0800-0000F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7" name="Text Box 104">
          <a:extLst>
            <a:ext uri="{FF2B5EF4-FFF2-40B4-BE49-F238E27FC236}">
              <a16:creationId xmlns:a16="http://schemas.microsoft.com/office/drawing/2014/main" id="{00000000-0008-0000-0800-0000F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8" name="Text Box 105">
          <a:extLst>
            <a:ext uri="{FF2B5EF4-FFF2-40B4-BE49-F238E27FC236}">
              <a16:creationId xmlns:a16="http://schemas.microsoft.com/office/drawing/2014/main" id="{00000000-0008-0000-0800-0000F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9" name="Text Box 106">
          <a:extLst>
            <a:ext uri="{FF2B5EF4-FFF2-40B4-BE49-F238E27FC236}">
              <a16:creationId xmlns:a16="http://schemas.microsoft.com/office/drawing/2014/main" id="{00000000-0008-0000-0800-0000F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0" name="Text Box 107">
          <a:extLst>
            <a:ext uri="{FF2B5EF4-FFF2-40B4-BE49-F238E27FC236}">
              <a16:creationId xmlns:a16="http://schemas.microsoft.com/office/drawing/2014/main" id="{00000000-0008-0000-0800-0000F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1" name="Text Box 108">
          <a:extLst>
            <a:ext uri="{FF2B5EF4-FFF2-40B4-BE49-F238E27FC236}">
              <a16:creationId xmlns:a16="http://schemas.microsoft.com/office/drawing/2014/main" id="{00000000-0008-0000-0800-0000F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2" name="Text Box 109">
          <a:extLst>
            <a:ext uri="{FF2B5EF4-FFF2-40B4-BE49-F238E27FC236}">
              <a16:creationId xmlns:a16="http://schemas.microsoft.com/office/drawing/2014/main" id="{00000000-0008-0000-0800-0000F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3" name="Text Box 110">
          <a:extLst>
            <a:ext uri="{FF2B5EF4-FFF2-40B4-BE49-F238E27FC236}">
              <a16:creationId xmlns:a16="http://schemas.microsoft.com/office/drawing/2014/main" id="{00000000-0008-0000-0800-0000F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4" name="Text Box 111">
          <a:extLst>
            <a:ext uri="{FF2B5EF4-FFF2-40B4-BE49-F238E27FC236}">
              <a16:creationId xmlns:a16="http://schemas.microsoft.com/office/drawing/2014/main" id="{00000000-0008-0000-0800-0000F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5" name="Text Box 119">
          <a:extLst>
            <a:ext uri="{FF2B5EF4-FFF2-40B4-BE49-F238E27FC236}">
              <a16:creationId xmlns:a16="http://schemas.microsoft.com/office/drawing/2014/main" id="{00000000-0008-0000-0800-0000F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6" name="Text Box 120">
          <a:extLst>
            <a:ext uri="{FF2B5EF4-FFF2-40B4-BE49-F238E27FC236}">
              <a16:creationId xmlns:a16="http://schemas.microsoft.com/office/drawing/2014/main" id="{00000000-0008-0000-0800-0000F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7" name="Text Box 121">
          <a:extLst>
            <a:ext uri="{FF2B5EF4-FFF2-40B4-BE49-F238E27FC236}">
              <a16:creationId xmlns:a16="http://schemas.microsoft.com/office/drawing/2014/main" id="{00000000-0008-0000-0800-0000F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8" name="Text Box 122">
          <a:extLst>
            <a:ext uri="{FF2B5EF4-FFF2-40B4-BE49-F238E27FC236}">
              <a16:creationId xmlns:a16="http://schemas.microsoft.com/office/drawing/2014/main" id="{00000000-0008-0000-0800-00000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9" name="Text Box 123">
          <a:extLst>
            <a:ext uri="{FF2B5EF4-FFF2-40B4-BE49-F238E27FC236}">
              <a16:creationId xmlns:a16="http://schemas.microsoft.com/office/drawing/2014/main" id="{00000000-0008-0000-0800-00000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0" name="Text Box 124">
          <a:extLst>
            <a:ext uri="{FF2B5EF4-FFF2-40B4-BE49-F238E27FC236}">
              <a16:creationId xmlns:a16="http://schemas.microsoft.com/office/drawing/2014/main" id="{00000000-0008-0000-0800-00000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1" name="Text Box 125">
          <a:extLst>
            <a:ext uri="{FF2B5EF4-FFF2-40B4-BE49-F238E27FC236}">
              <a16:creationId xmlns:a16="http://schemas.microsoft.com/office/drawing/2014/main" id="{00000000-0008-0000-0800-00000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2" name="Text Box 126">
          <a:extLst>
            <a:ext uri="{FF2B5EF4-FFF2-40B4-BE49-F238E27FC236}">
              <a16:creationId xmlns:a16="http://schemas.microsoft.com/office/drawing/2014/main" id="{00000000-0008-0000-0800-00000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3" name="Text Box 127">
          <a:extLst>
            <a:ext uri="{FF2B5EF4-FFF2-40B4-BE49-F238E27FC236}">
              <a16:creationId xmlns:a16="http://schemas.microsoft.com/office/drawing/2014/main" id="{00000000-0008-0000-0800-00000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4" name="Text Box 128">
          <a:extLst>
            <a:ext uri="{FF2B5EF4-FFF2-40B4-BE49-F238E27FC236}">
              <a16:creationId xmlns:a16="http://schemas.microsoft.com/office/drawing/2014/main" id="{00000000-0008-0000-0800-00000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5" name="Text Box 129">
          <a:extLst>
            <a:ext uri="{FF2B5EF4-FFF2-40B4-BE49-F238E27FC236}">
              <a16:creationId xmlns:a16="http://schemas.microsoft.com/office/drawing/2014/main" id="{00000000-0008-0000-0800-00000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6" name="Text Box 130">
          <a:extLst>
            <a:ext uri="{FF2B5EF4-FFF2-40B4-BE49-F238E27FC236}">
              <a16:creationId xmlns:a16="http://schemas.microsoft.com/office/drawing/2014/main" id="{00000000-0008-0000-0800-00000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7" name="Text Box 133">
          <a:extLst>
            <a:ext uri="{FF2B5EF4-FFF2-40B4-BE49-F238E27FC236}">
              <a16:creationId xmlns:a16="http://schemas.microsoft.com/office/drawing/2014/main" id="{00000000-0008-0000-0800-00000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8" name="Text Box 134">
          <a:extLst>
            <a:ext uri="{FF2B5EF4-FFF2-40B4-BE49-F238E27FC236}">
              <a16:creationId xmlns:a16="http://schemas.microsoft.com/office/drawing/2014/main" id="{00000000-0008-0000-0800-00000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9" name="Text Box 135">
          <a:extLst>
            <a:ext uri="{FF2B5EF4-FFF2-40B4-BE49-F238E27FC236}">
              <a16:creationId xmlns:a16="http://schemas.microsoft.com/office/drawing/2014/main" id="{00000000-0008-0000-0800-00000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0" name="Text Box 136">
          <a:extLst>
            <a:ext uri="{FF2B5EF4-FFF2-40B4-BE49-F238E27FC236}">
              <a16:creationId xmlns:a16="http://schemas.microsoft.com/office/drawing/2014/main" id="{00000000-0008-0000-0800-00000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1" name="Text Box 137">
          <a:extLst>
            <a:ext uri="{FF2B5EF4-FFF2-40B4-BE49-F238E27FC236}">
              <a16:creationId xmlns:a16="http://schemas.microsoft.com/office/drawing/2014/main" id="{00000000-0008-0000-0800-00000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2" name="Text Box 138">
          <a:extLst>
            <a:ext uri="{FF2B5EF4-FFF2-40B4-BE49-F238E27FC236}">
              <a16:creationId xmlns:a16="http://schemas.microsoft.com/office/drawing/2014/main" id="{00000000-0008-0000-0800-00000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3" name="Text Box 139">
          <a:extLst>
            <a:ext uri="{FF2B5EF4-FFF2-40B4-BE49-F238E27FC236}">
              <a16:creationId xmlns:a16="http://schemas.microsoft.com/office/drawing/2014/main" id="{00000000-0008-0000-0800-00000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4" name="Text Box 140">
          <a:extLst>
            <a:ext uri="{FF2B5EF4-FFF2-40B4-BE49-F238E27FC236}">
              <a16:creationId xmlns:a16="http://schemas.microsoft.com/office/drawing/2014/main" id="{00000000-0008-0000-0800-00001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5" name="Text Box 141">
          <a:extLst>
            <a:ext uri="{FF2B5EF4-FFF2-40B4-BE49-F238E27FC236}">
              <a16:creationId xmlns:a16="http://schemas.microsoft.com/office/drawing/2014/main" id="{00000000-0008-0000-0800-00001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6" name="Text Box 142">
          <a:extLst>
            <a:ext uri="{FF2B5EF4-FFF2-40B4-BE49-F238E27FC236}">
              <a16:creationId xmlns:a16="http://schemas.microsoft.com/office/drawing/2014/main" id="{00000000-0008-0000-0800-00001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7" name="Text Box 143">
          <a:extLst>
            <a:ext uri="{FF2B5EF4-FFF2-40B4-BE49-F238E27FC236}">
              <a16:creationId xmlns:a16="http://schemas.microsoft.com/office/drawing/2014/main" id="{00000000-0008-0000-0800-00001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8" name="Text Box 144">
          <a:extLst>
            <a:ext uri="{FF2B5EF4-FFF2-40B4-BE49-F238E27FC236}">
              <a16:creationId xmlns:a16="http://schemas.microsoft.com/office/drawing/2014/main" id="{00000000-0008-0000-0800-00001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9" name="Text Box 145">
          <a:extLst>
            <a:ext uri="{FF2B5EF4-FFF2-40B4-BE49-F238E27FC236}">
              <a16:creationId xmlns:a16="http://schemas.microsoft.com/office/drawing/2014/main" id="{00000000-0008-0000-0800-00001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0" name="Text Box 146">
          <a:extLst>
            <a:ext uri="{FF2B5EF4-FFF2-40B4-BE49-F238E27FC236}">
              <a16:creationId xmlns:a16="http://schemas.microsoft.com/office/drawing/2014/main" id="{00000000-0008-0000-0800-00001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1" name="Text Box 147">
          <a:extLst>
            <a:ext uri="{FF2B5EF4-FFF2-40B4-BE49-F238E27FC236}">
              <a16:creationId xmlns:a16="http://schemas.microsoft.com/office/drawing/2014/main" id="{00000000-0008-0000-0800-00001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2" name="Text Box 148">
          <a:extLst>
            <a:ext uri="{FF2B5EF4-FFF2-40B4-BE49-F238E27FC236}">
              <a16:creationId xmlns:a16="http://schemas.microsoft.com/office/drawing/2014/main" id="{00000000-0008-0000-0800-00001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3" name="Text Box 149">
          <a:extLst>
            <a:ext uri="{FF2B5EF4-FFF2-40B4-BE49-F238E27FC236}">
              <a16:creationId xmlns:a16="http://schemas.microsoft.com/office/drawing/2014/main" id="{00000000-0008-0000-0800-00001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4" name="Text Box 150">
          <a:extLst>
            <a:ext uri="{FF2B5EF4-FFF2-40B4-BE49-F238E27FC236}">
              <a16:creationId xmlns:a16="http://schemas.microsoft.com/office/drawing/2014/main" id="{00000000-0008-0000-0800-00001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5" name="Text Box 151">
          <a:extLst>
            <a:ext uri="{FF2B5EF4-FFF2-40B4-BE49-F238E27FC236}">
              <a16:creationId xmlns:a16="http://schemas.microsoft.com/office/drawing/2014/main" id="{00000000-0008-0000-0800-00001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6" name="Text Box 152">
          <a:extLst>
            <a:ext uri="{FF2B5EF4-FFF2-40B4-BE49-F238E27FC236}">
              <a16:creationId xmlns:a16="http://schemas.microsoft.com/office/drawing/2014/main" id="{00000000-0008-0000-0800-00001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7" name="Text Box 153">
          <a:extLst>
            <a:ext uri="{FF2B5EF4-FFF2-40B4-BE49-F238E27FC236}">
              <a16:creationId xmlns:a16="http://schemas.microsoft.com/office/drawing/2014/main" id="{00000000-0008-0000-0800-00001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8" name="Text Box 154">
          <a:extLst>
            <a:ext uri="{FF2B5EF4-FFF2-40B4-BE49-F238E27FC236}">
              <a16:creationId xmlns:a16="http://schemas.microsoft.com/office/drawing/2014/main" id="{00000000-0008-0000-0800-00001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9" name="Text Box 155">
          <a:extLst>
            <a:ext uri="{FF2B5EF4-FFF2-40B4-BE49-F238E27FC236}">
              <a16:creationId xmlns:a16="http://schemas.microsoft.com/office/drawing/2014/main" id="{00000000-0008-0000-0800-00001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0" name="Text Box 156">
          <a:extLst>
            <a:ext uri="{FF2B5EF4-FFF2-40B4-BE49-F238E27FC236}">
              <a16:creationId xmlns:a16="http://schemas.microsoft.com/office/drawing/2014/main" id="{00000000-0008-0000-0800-00002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1" name="Text Box 157">
          <a:extLst>
            <a:ext uri="{FF2B5EF4-FFF2-40B4-BE49-F238E27FC236}">
              <a16:creationId xmlns:a16="http://schemas.microsoft.com/office/drawing/2014/main" id="{00000000-0008-0000-0800-00002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2" name="Text Box 158">
          <a:extLst>
            <a:ext uri="{FF2B5EF4-FFF2-40B4-BE49-F238E27FC236}">
              <a16:creationId xmlns:a16="http://schemas.microsoft.com/office/drawing/2014/main" id="{00000000-0008-0000-0800-00002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3" name="Text Box 159">
          <a:extLst>
            <a:ext uri="{FF2B5EF4-FFF2-40B4-BE49-F238E27FC236}">
              <a16:creationId xmlns:a16="http://schemas.microsoft.com/office/drawing/2014/main" id="{00000000-0008-0000-0800-00002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4" name="Text Box 160">
          <a:extLst>
            <a:ext uri="{FF2B5EF4-FFF2-40B4-BE49-F238E27FC236}">
              <a16:creationId xmlns:a16="http://schemas.microsoft.com/office/drawing/2014/main" id="{00000000-0008-0000-0800-00002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5" name="Text Box 161">
          <a:extLst>
            <a:ext uri="{FF2B5EF4-FFF2-40B4-BE49-F238E27FC236}">
              <a16:creationId xmlns:a16="http://schemas.microsoft.com/office/drawing/2014/main" id="{00000000-0008-0000-0800-00002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6" name="Text Box 162">
          <a:extLst>
            <a:ext uri="{FF2B5EF4-FFF2-40B4-BE49-F238E27FC236}">
              <a16:creationId xmlns:a16="http://schemas.microsoft.com/office/drawing/2014/main" id="{00000000-0008-0000-0800-00002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7" name="Text Box 163">
          <a:extLst>
            <a:ext uri="{FF2B5EF4-FFF2-40B4-BE49-F238E27FC236}">
              <a16:creationId xmlns:a16="http://schemas.microsoft.com/office/drawing/2014/main" id="{00000000-0008-0000-0800-00002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8" name="Text Box 164">
          <a:extLst>
            <a:ext uri="{FF2B5EF4-FFF2-40B4-BE49-F238E27FC236}">
              <a16:creationId xmlns:a16="http://schemas.microsoft.com/office/drawing/2014/main" id="{00000000-0008-0000-0800-00002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9" name="Text Box 165">
          <a:extLst>
            <a:ext uri="{FF2B5EF4-FFF2-40B4-BE49-F238E27FC236}">
              <a16:creationId xmlns:a16="http://schemas.microsoft.com/office/drawing/2014/main" id="{00000000-0008-0000-0800-00002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0" name="Text Box 166">
          <a:extLst>
            <a:ext uri="{FF2B5EF4-FFF2-40B4-BE49-F238E27FC236}">
              <a16:creationId xmlns:a16="http://schemas.microsoft.com/office/drawing/2014/main" id="{00000000-0008-0000-0800-00002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1" name="Text Box 167">
          <a:extLst>
            <a:ext uri="{FF2B5EF4-FFF2-40B4-BE49-F238E27FC236}">
              <a16:creationId xmlns:a16="http://schemas.microsoft.com/office/drawing/2014/main" id="{00000000-0008-0000-0800-00002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2" name="Text Box 168">
          <a:extLst>
            <a:ext uri="{FF2B5EF4-FFF2-40B4-BE49-F238E27FC236}">
              <a16:creationId xmlns:a16="http://schemas.microsoft.com/office/drawing/2014/main" id="{00000000-0008-0000-0800-00002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3" name="Text Box 169">
          <a:extLst>
            <a:ext uri="{FF2B5EF4-FFF2-40B4-BE49-F238E27FC236}">
              <a16:creationId xmlns:a16="http://schemas.microsoft.com/office/drawing/2014/main" id="{00000000-0008-0000-0800-00002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4" name="Text Box 170">
          <a:extLst>
            <a:ext uri="{FF2B5EF4-FFF2-40B4-BE49-F238E27FC236}">
              <a16:creationId xmlns:a16="http://schemas.microsoft.com/office/drawing/2014/main" id="{00000000-0008-0000-0800-00002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5" name="Text Box 171">
          <a:extLst>
            <a:ext uri="{FF2B5EF4-FFF2-40B4-BE49-F238E27FC236}">
              <a16:creationId xmlns:a16="http://schemas.microsoft.com/office/drawing/2014/main" id="{00000000-0008-0000-0800-00002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6" name="Text Box 172">
          <a:extLst>
            <a:ext uri="{FF2B5EF4-FFF2-40B4-BE49-F238E27FC236}">
              <a16:creationId xmlns:a16="http://schemas.microsoft.com/office/drawing/2014/main" id="{00000000-0008-0000-0800-00003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7" name="Text Box 173">
          <a:extLst>
            <a:ext uri="{FF2B5EF4-FFF2-40B4-BE49-F238E27FC236}">
              <a16:creationId xmlns:a16="http://schemas.microsoft.com/office/drawing/2014/main" id="{00000000-0008-0000-0800-00003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8" name="Text Box 174">
          <a:extLst>
            <a:ext uri="{FF2B5EF4-FFF2-40B4-BE49-F238E27FC236}">
              <a16:creationId xmlns:a16="http://schemas.microsoft.com/office/drawing/2014/main" id="{00000000-0008-0000-0800-00003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9" name="Text Box 175">
          <a:extLst>
            <a:ext uri="{FF2B5EF4-FFF2-40B4-BE49-F238E27FC236}">
              <a16:creationId xmlns:a16="http://schemas.microsoft.com/office/drawing/2014/main" id="{00000000-0008-0000-0800-00003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0" name="Text Box 176">
          <a:extLst>
            <a:ext uri="{FF2B5EF4-FFF2-40B4-BE49-F238E27FC236}">
              <a16:creationId xmlns:a16="http://schemas.microsoft.com/office/drawing/2014/main" id="{00000000-0008-0000-0800-00003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1" name="Text Box 177">
          <a:extLst>
            <a:ext uri="{FF2B5EF4-FFF2-40B4-BE49-F238E27FC236}">
              <a16:creationId xmlns:a16="http://schemas.microsoft.com/office/drawing/2014/main" id="{00000000-0008-0000-0800-00003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2" name="Text Box 178">
          <a:extLst>
            <a:ext uri="{FF2B5EF4-FFF2-40B4-BE49-F238E27FC236}">
              <a16:creationId xmlns:a16="http://schemas.microsoft.com/office/drawing/2014/main" id="{00000000-0008-0000-0800-00003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3" name="Text Box 179">
          <a:extLst>
            <a:ext uri="{FF2B5EF4-FFF2-40B4-BE49-F238E27FC236}">
              <a16:creationId xmlns:a16="http://schemas.microsoft.com/office/drawing/2014/main" id="{00000000-0008-0000-0800-00003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4" name="Text Box 180">
          <a:extLst>
            <a:ext uri="{FF2B5EF4-FFF2-40B4-BE49-F238E27FC236}">
              <a16:creationId xmlns:a16="http://schemas.microsoft.com/office/drawing/2014/main" id="{00000000-0008-0000-0800-00003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5" name="Text Box 181">
          <a:extLst>
            <a:ext uri="{FF2B5EF4-FFF2-40B4-BE49-F238E27FC236}">
              <a16:creationId xmlns:a16="http://schemas.microsoft.com/office/drawing/2014/main" id="{00000000-0008-0000-0800-00003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6" name="Text Box 182">
          <a:extLst>
            <a:ext uri="{FF2B5EF4-FFF2-40B4-BE49-F238E27FC236}">
              <a16:creationId xmlns:a16="http://schemas.microsoft.com/office/drawing/2014/main" id="{00000000-0008-0000-0800-00003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7" name="Text Box 183">
          <a:extLst>
            <a:ext uri="{FF2B5EF4-FFF2-40B4-BE49-F238E27FC236}">
              <a16:creationId xmlns:a16="http://schemas.microsoft.com/office/drawing/2014/main" id="{00000000-0008-0000-0800-00003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8" name="Text Box 184">
          <a:extLst>
            <a:ext uri="{FF2B5EF4-FFF2-40B4-BE49-F238E27FC236}">
              <a16:creationId xmlns:a16="http://schemas.microsoft.com/office/drawing/2014/main" id="{00000000-0008-0000-0800-00003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9" name="Text Box 185">
          <a:extLst>
            <a:ext uri="{FF2B5EF4-FFF2-40B4-BE49-F238E27FC236}">
              <a16:creationId xmlns:a16="http://schemas.microsoft.com/office/drawing/2014/main" id="{00000000-0008-0000-0800-00003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0" name="Text Box 186">
          <a:extLst>
            <a:ext uri="{FF2B5EF4-FFF2-40B4-BE49-F238E27FC236}">
              <a16:creationId xmlns:a16="http://schemas.microsoft.com/office/drawing/2014/main" id="{00000000-0008-0000-0800-00003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1" name="Text Box 187">
          <a:extLst>
            <a:ext uri="{FF2B5EF4-FFF2-40B4-BE49-F238E27FC236}">
              <a16:creationId xmlns:a16="http://schemas.microsoft.com/office/drawing/2014/main" id="{00000000-0008-0000-0800-00003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2" name="Text Box 188">
          <a:extLst>
            <a:ext uri="{FF2B5EF4-FFF2-40B4-BE49-F238E27FC236}">
              <a16:creationId xmlns:a16="http://schemas.microsoft.com/office/drawing/2014/main" id="{00000000-0008-0000-0800-00004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3" name="Text Box 189">
          <a:extLst>
            <a:ext uri="{FF2B5EF4-FFF2-40B4-BE49-F238E27FC236}">
              <a16:creationId xmlns:a16="http://schemas.microsoft.com/office/drawing/2014/main" id="{00000000-0008-0000-0800-00004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4" name="Text Box 190">
          <a:extLst>
            <a:ext uri="{FF2B5EF4-FFF2-40B4-BE49-F238E27FC236}">
              <a16:creationId xmlns:a16="http://schemas.microsoft.com/office/drawing/2014/main" id="{00000000-0008-0000-0800-00004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5" name="Text Box 191">
          <a:extLst>
            <a:ext uri="{FF2B5EF4-FFF2-40B4-BE49-F238E27FC236}">
              <a16:creationId xmlns:a16="http://schemas.microsoft.com/office/drawing/2014/main" id="{00000000-0008-0000-0800-00004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6" name="Text Box 192">
          <a:extLst>
            <a:ext uri="{FF2B5EF4-FFF2-40B4-BE49-F238E27FC236}">
              <a16:creationId xmlns:a16="http://schemas.microsoft.com/office/drawing/2014/main" id="{00000000-0008-0000-0800-00004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7" name="Text Box 193">
          <a:extLst>
            <a:ext uri="{FF2B5EF4-FFF2-40B4-BE49-F238E27FC236}">
              <a16:creationId xmlns:a16="http://schemas.microsoft.com/office/drawing/2014/main" id="{00000000-0008-0000-0800-00004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8" name="Text Box 194">
          <a:extLst>
            <a:ext uri="{FF2B5EF4-FFF2-40B4-BE49-F238E27FC236}">
              <a16:creationId xmlns:a16="http://schemas.microsoft.com/office/drawing/2014/main" id="{00000000-0008-0000-0800-00004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9" name="Text Box 195">
          <a:extLst>
            <a:ext uri="{FF2B5EF4-FFF2-40B4-BE49-F238E27FC236}">
              <a16:creationId xmlns:a16="http://schemas.microsoft.com/office/drawing/2014/main" id="{00000000-0008-0000-0800-00004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0" name="Text Box 196">
          <a:extLst>
            <a:ext uri="{FF2B5EF4-FFF2-40B4-BE49-F238E27FC236}">
              <a16:creationId xmlns:a16="http://schemas.microsoft.com/office/drawing/2014/main" id="{00000000-0008-0000-0800-00004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1" name="Text Box 197">
          <a:extLst>
            <a:ext uri="{FF2B5EF4-FFF2-40B4-BE49-F238E27FC236}">
              <a16:creationId xmlns:a16="http://schemas.microsoft.com/office/drawing/2014/main" id="{00000000-0008-0000-0800-00004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2" name="Text Box 198">
          <a:extLst>
            <a:ext uri="{FF2B5EF4-FFF2-40B4-BE49-F238E27FC236}">
              <a16:creationId xmlns:a16="http://schemas.microsoft.com/office/drawing/2014/main" id="{00000000-0008-0000-0800-00004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3" name="Text Box 199">
          <a:extLst>
            <a:ext uri="{FF2B5EF4-FFF2-40B4-BE49-F238E27FC236}">
              <a16:creationId xmlns:a16="http://schemas.microsoft.com/office/drawing/2014/main" id="{00000000-0008-0000-0800-00004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4" name="Text Box 200">
          <a:extLst>
            <a:ext uri="{FF2B5EF4-FFF2-40B4-BE49-F238E27FC236}">
              <a16:creationId xmlns:a16="http://schemas.microsoft.com/office/drawing/2014/main" id="{00000000-0008-0000-0800-00004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5" name="Text Box 201">
          <a:extLst>
            <a:ext uri="{FF2B5EF4-FFF2-40B4-BE49-F238E27FC236}">
              <a16:creationId xmlns:a16="http://schemas.microsoft.com/office/drawing/2014/main" id="{00000000-0008-0000-0800-00004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6" name="Text Box 202">
          <a:extLst>
            <a:ext uri="{FF2B5EF4-FFF2-40B4-BE49-F238E27FC236}">
              <a16:creationId xmlns:a16="http://schemas.microsoft.com/office/drawing/2014/main" id="{00000000-0008-0000-0800-00004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7" name="Text Box 203">
          <a:extLst>
            <a:ext uri="{FF2B5EF4-FFF2-40B4-BE49-F238E27FC236}">
              <a16:creationId xmlns:a16="http://schemas.microsoft.com/office/drawing/2014/main" id="{00000000-0008-0000-0800-00004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8" name="Text Box 204">
          <a:extLst>
            <a:ext uri="{FF2B5EF4-FFF2-40B4-BE49-F238E27FC236}">
              <a16:creationId xmlns:a16="http://schemas.microsoft.com/office/drawing/2014/main" id="{00000000-0008-0000-0800-00005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9" name="Text Box 205">
          <a:extLst>
            <a:ext uri="{FF2B5EF4-FFF2-40B4-BE49-F238E27FC236}">
              <a16:creationId xmlns:a16="http://schemas.microsoft.com/office/drawing/2014/main" id="{00000000-0008-0000-0800-00005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0" name="Text Box 206">
          <a:extLst>
            <a:ext uri="{FF2B5EF4-FFF2-40B4-BE49-F238E27FC236}">
              <a16:creationId xmlns:a16="http://schemas.microsoft.com/office/drawing/2014/main" id="{00000000-0008-0000-0800-00005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1" name="Text Box 207">
          <a:extLst>
            <a:ext uri="{FF2B5EF4-FFF2-40B4-BE49-F238E27FC236}">
              <a16:creationId xmlns:a16="http://schemas.microsoft.com/office/drawing/2014/main" id="{00000000-0008-0000-0800-00005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2" name="Text Box 208">
          <a:extLst>
            <a:ext uri="{FF2B5EF4-FFF2-40B4-BE49-F238E27FC236}">
              <a16:creationId xmlns:a16="http://schemas.microsoft.com/office/drawing/2014/main" id="{00000000-0008-0000-0800-00005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3" name="Text Box 209">
          <a:extLst>
            <a:ext uri="{FF2B5EF4-FFF2-40B4-BE49-F238E27FC236}">
              <a16:creationId xmlns:a16="http://schemas.microsoft.com/office/drawing/2014/main" id="{00000000-0008-0000-0800-00005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4" name="Text Box 210">
          <a:extLst>
            <a:ext uri="{FF2B5EF4-FFF2-40B4-BE49-F238E27FC236}">
              <a16:creationId xmlns:a16="http://schemas.microsoft.com/office/drawing/2014/main" id="{00000000-0008-0000-0800-00005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5" name="Text Box 211">
          <a:extLst>
            <a:ext uri="{FF2B5EF4-FFF2-40B4-BE49-F238E27FC236}">
              <a16:creationId xmlns:a16="http://schemas.microsoft.com/office/drawing/2014/main" id="{00000000-0008-0000-0800-00005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6" name="Text Box 212">
          <a:extLst>
            <a:ext uri="{FF2B5EF4-FFF2-40B4-BE49-F238E27FC236}">
              <a16:creationId xmlns:a16="http://schemas.microsoft.com/office/drawing/2014/main" id="{00000000-0008-0000-0800-00005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7" name="Text Box 213">
          <a:extLst>
            <a:ext uri="{FF2B5EF4-FFF2-40B4-BE49-F238E27FC236}">
              <a16:creationId xmlns:a16="http://schemas.microsoft.com/office/drawing/2014/main" id="{00000000-0008-0000-0800-00005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8" name="Text Box 214">
          <a:extLst>
            <a:ext uri="{FF2B5EF4-FFF2-40B4-BE49-F238E27FC236}">
              <a16:creationId xmlns:a16="http://schemas.microsoft.com/office/drawing/2014/main" id="{00000000-0008-0000-0800-00005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9" name="Text Box 215">
          <a:extLst>
            <a:ext uri="{FF2B5EF4-FFF2-40B4-BE49-F238E27FC236}">
              <a16:creationId xmlns:a16="http://schemas.microsoft.com/office/drawing/2014/main" id="{00000000-0008-0000-0800-00005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0" name="Text Box 216">
          <a:extLst>
            <a:ext uri="{FF2B5EF4-FFF2-40B4-BE49-F238E27FC236}">
              <a16:creationId xmlns:a16="http://schemas.microsoft.com/office/drawing/2014/main" id="{00000000-0008-0000-0800-00005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1" name="Text Box 217">
          <a:extLst>
            <a:ext uri="{FF2B5EF4-FFF2-40B4-BE49-F238E27FC236}">
              <a16:creationId xmlns:a16="http://schemas.microsoft.com/office/drawing/2014/main" id="{00000000-0008-0000-0800-00005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2" name="Text Box 218">
          <a:extLst>
            <a:ext uri="{FF2B5EF4-FFF2-40B4-BE49-F238E27FC236}">
              <a16:creationId xmlns:a16="http://schemas.microsoft.com/office/drawing/2014/main" id="{00000000-0008-0000-0800-00005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3" name="Text Box 219">
          <a:extLst>
            <a:ext uri="{FF2B5EF4-FFF2-40B4-BE49-F238E27FC236}">
              <a16:creationId xmlns:a16="http://schemas.microsoft.com/office/drawing/2014/main" id="{00000000-0008-0000-0800-00005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4" name="Text Box 220">
          <a:extLst>
            <a:ext uri="{FF2B5EF4-FFF2-40B4-BE49-F238E27FC236}">
              <a16:creationId xmlns:a16="http://schemas.microsoft.com/office/drawing/2014/main" id="{00000000-0008-0000-0800-00006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5" name="Text Box 221">
          <a:extLst>
            <a:ext uri="{FF2B5EF4-FFF2-40B4-BE49-F238E27FC236}">
              <a16:creationId xmlns:a16="http://schemas.microsoft.com/office/drawing/2014/main" id="{00000000-0008-0000-0800-00006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6" name="Text Box 222">
          <a:extLst>
            <a:ext uri="{FF2B5EF4-FFF2-40B4-BE49-F238E27FC236}">
              <a16:creationId xmlns:a16="http://schemas.microsoft.com/office/drawing/2014/main" id="{00000000-0008-0000-0800-00006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7" name="Text Box 223">
          <a:extLst>
            <a:ext uri="{FF2B5EF4-FFF2-40B4-BE49-F238E27FC236}">
              <a16:creationId xmlns:a16="http://schemas.microsoft.com/office/drawing/2014/main" id="{00000000-0008-0000-0800-00006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8" name="Text Box 224">
          <a:extLst>
            <a:ext uri="{FF2B5EF4-FFF2-40B4-BE49-F238E27FC236}">
              <a16:creationId xmlns:a16="http://schemas.microsoft.com/office/drawing/2014/main" id="{00000000-0008-0000-0800-00006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9" name="Text Box 225">
          <a:extLst>
            <a:ext uri="{FF2B5EF4-FFF2-40B4-BE49-F238E27FC236}">
              <a16:creationId xmlns:a16="http://schemas.microsoft.com/office/drawing/2014/main" id="{00000000-0008-0000-0800-00006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50" name="Text Box 226">
          <a:extLst>
            <a:ext uri="{FF2B5EF4-FFF2-40B4-BE49-F238E27FC236}">
              <a16:creationId xmlns:a16="http://schemas.microsoft.com/office/drawing/2014/main" id="{00000000-0008-0000-0800-00006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1" name="Text Box 227">
          <a:extLst>
            <a:ext uri="{FF2B5EF4-FFF2-40B4-BE49-F238E27FC236}">
              <a16:creationId xmlns:a16="http://schemas.microsoft.com/office/drawing/2014/main" id="{00000000-0008-0000-0800-00006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2" name="Text Box 228">
          <a:extLst>
            <a:ext uri="{FF2B5EF4-FFF2-40B4-BE49-F238E27FC236}">
              <a16:creationId xmlns:a16="http://schemas.microsoft.com/office/drawing/2014/main" id="{00000000-0008-0000-0800-00006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3" name="Text Box 229">
          <a:extLst>
            <a:ext uri="{FF2B5EF4-FFF2-40B4-BE49-F238E27FC236}">
              <a16:creationId xmlns:a16="http://schemas.microsoft.com/office/drawing/2014/main" id="{00000000-0008-0000-0800-00006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4" name="Text Box 230">
          <a:extLst>
            <a:ext uri="{FF2B5EF4-FFF2-40B4-BE49-F238E27FC236}">
              <a16:creationId xmlns:a16="http://schemas.microsoft.com/office/drawing/2014/main" id="{00000000-0008-0000-0800-00006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5" name="Text Box 231">
          <a:extLst>
            <a:ext uri="{FF2B5EF4-FFF2-40B4-BE49-F238E27FC236}">
              <a16:creationId xmlns:a16="http://schemas.microsoft.com/office/drawing/2014/main" id="{00000000-0008-0000-0800-00006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6" name="Text Box 232">
          <a:extLst>
            <a:ext uri="{FF2B5EF4-FFF2-40B4-BE49-F238E27FC236}">
              <a16:creationId xmlns:a16="http://schemas.microsoft.com/office/drawing/2014/main" id="{00000000-0008-0000-0800-00006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7" name="Text Box 233">
          <a:extLst>
            <a:ext uri="{FF2B5EF4-FFF2-40B4-BE49-F238E27FC236}">
              <a16:creationId xmlns:a16="http://schemas.microsoft.com/office/drawing/2014/main" id="{00000000-0008-0000-0800-00006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8" name="Text Box 234">
          <a:extLst>
            <a:ext uri="{FF2B5EF4-FFF2-40B4-BE49-F238E27FC236}">
              <a16:creationId xmlns:a16="http://schemas.microsoft.com/office/drawing/2014/main" id="{00000000-0008-0000-0800-00006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9" name="Text Box 235">
          <a:extLst>
            <a:ext uri="{FF2B5EF4-FFF2-40B4-BE49-F238E27FC236}">
              <a16:creationId xmlns:a16="http://schemas.microsoft.com/office/drawing/2014/main" id="{00000000-0008-0000-0800-00006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0" name="Text Box 236">
          <a:extLst>
            <a:ext uri="{FF2B5EF4-FFF2-40B4-BE49-F238E27FC236}">
              <a16:creationId xmlns:a16="http://schemas.microsoft.com/office/drawing/2014/main" id="{00000000-0008-0000-0800-00007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1" name="Text Box 237">
          <a:extLst>
            <a:ext uri="{FF2B5EF4-FFF2-40B4-BE49-F238E27FC236}">
              <a16:creationId xmlns:a16="http://schemas.microsoft.com/office/drawing/2014/main" id="{00000000-0008-0000-0800-00007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2" name="Text Box 238">
          <a:extLst>
            <a:ext uri="{FF2B5EF4-FFF2-40B4-BE49-F238E27FC236}">
              <a16:creationId xmlns:a16="http://schemas.microsoft.com/office/drawing/2014/main" id="{00000000-0008-0000-0800-00007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3" name="Text Box 239">
          <a:extLst>
            <a:ext uri="{FF2B5EF4-FFF2-40B4-BE49-F238E27FC236}">
              <a16:creationId xmlns:a16="http://schemas.microsoft.com/office/drawing/2014/main" id="{00000000-0008-0000-0800-00007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4" name="Text Box 240">
          <a:extLst>
            <a:ext uri="{FF2B5EF4-FFF2-40B4-BE49-F238E27FC236}">
              <a16:creationId xmlns:a16="http://schemas.microsoft.com/office/drawing/2014/main" id="{00000000-0008-0000-0800-00007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5" name="Text Box 241">
          <a:extLst>
            <a:ext uri="{FF2B5EF4-FFF2-40B4-BE49-F238E27FC236}">
              <a16:creationId xmlns:a16="http://schemas.microsoft.com/office/drawing/2014/main" id="{00000000-0008-0000-0800-00007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6" name="Text Box 242">
          <a:extLst>
            <a:ext uri="{FF2B5EF4-FFF2-40B4-BE49-F238E27FC236}">
              <a16:creationId xmlns:a16="http://schemas.microsoft.com/office/drawing/2014/main" id="{00000000-0008-0000-0800-00007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7" name="Text Box 243">
          <a:extLst>
            <a:ext uri="{FF2B5EF4-FFF2-40B4-BE49-F238E27FC236}">
              <a16:creationId xmlns:a16="http://schemas.microsoft.com/office/drawing/2014/main" id="{00000000-0008-0000-0800-00007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8" name="Text Box 244">
          <a:extLst>
            <a:ext uri="{FF2B5EF4-FFF2-40B4-BE49-F238E27FC236}">
              <a16:creationId xmlns:a16="http://schemas.microsoft.com/office/drawing/2014/main" id="{00000000-0008-0000-0800-00007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9" name="Text Box 245">
          <a:extLst>
            <a:ext uri="{FF2B5EF4-FFF2-40B4-BE49-F238E27FC236}">
              <a16:creationId xmlns:a16="http://schemas.microsoft.com/office/drawing/2014/main" id="{00000000-0008-0000-0800-00007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0" name="Text Box 246">
          <a:extLst>
            <a:ext uri="{FF2B5EF4-FFF2-40B4-BE49-F238E27FC236}">
              <a16:creationId xmlns:a16="http://schemas.microsoft.com/office/drawing/2014/main" id="{00000000-0008-0000-0800-00007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1" name="Text Box 247">
          <a:extLst>
            <a:ext uri="{FF2B5EF4-FFF2-40B4-BE49-F238E27FC236}">
              <a16:creationId xmlns:a16="http://schemas.microsoft.com/office/drawing/2014/main" id="{00000000-0008-0000-0800-00007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2" name="Text Box 248">
          <a:extLst>
            <a:ext uri="{FF2B5EF4-FFF2-40B4-BE49-F238E27FC236}">
              <a16:creationId xmlns:a16="http://schemas.microsoft.com/office/drawing/2014/main" id="{00000000-0008-0000-0800-00007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3" name="Text Box 249">
          <a:extLst>
            <a:ext uri="{FF2B5EF4-FFF2-40B4-BE49-F238E27FC236}">
              <a16:creationId xmlns:a16="http://schemas.microsoft.com/office/drawing/2014/main" id="{00000000-0008-0000-0800-00007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4" name="Text Box 250">
          <a:extLst>
            <a:ext uri="{FF2B5EF4-FFF2-40B4-BE49-F238E27FC236}">
              <a16:creationId xmlns:a16="http://schemas.microsoft.com/office/drawing/2014/main" id="{00000000-0008-0000-0800-00007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5" name="Text Box 251">
          <a:extLst>
            <a:ext uri="{FF2B5EF4-FFF2-40B4-BE49-F238E27FC236}">
              <a16:creationId xmlns:a16="http://schemas.microsoft.com/office/drawing/2014/main" id="{00000000-0008-0000-0800-00007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6" name="Text Box 252">
          <a:extLst>
            <a:ext uri="{FF2B5EF4-FFF2-40B4-BE49-F238E27FC236}">
              <a16:creationId xmlns:a16="http://schemas.microsoft.com/office/drawing/2014/main" id="{00000000-0008-0000-0800-00008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7" name="Text Box 253">
          <a:extLst>
            <a:ext uri="{FF2B5EF4-FFF2-40B4-BE49-F238E27FC236}">
              <a16:creationId xmlns:a16="http://schemas.microsoft.com/office/drawing/2014/main" id="{00000000-0008-0000-0800-00008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8" name="Text Box 254">
          <a:extLst>
            <a:ext uri="{FF2B5EF4-FFF2-40B4-BE49-F238E27FC236}">
              <a16:creationId xmlns:a16="http://schemas.microsoft.com/office/drawing/2014/main" id="{00000000-0008-0000-0800-00008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9" name="Text Box 255">
          <a:extLst>
            <a:ext uri="{FF2B5EF4-FFF2-40B4-BE49-F238E27FC236}">
              <a16:creationId xmlns:a16="http://schemas.microsoft.com/office/drawing/2014/main" id="{00000000-0008-0000-0800-00008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0" name="Text Box 256">
          <a:extLst>
            <a:ext uri="{FF2B5EF4-FFF2-40B4-BE49-F238E27FC236}">
              <a16:creationId xmlns:a16="http://schemas.microsoft.com/office/drawing/2014/main" id="{00000000-0008-0000-0800-00008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1" name="Text Box 257">
          <a:extLst>
            <a:ext uri="{FF2B5EF4-FFF2-40B4-BE49-F238E27FC236}">
              <a16:creationId xmlns:a16="http://schemas.microsoft.com/office/drawing/2014/main" id="{00000000-0008-0000-0800-00008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2" name="Text Box 258">
          <a:extLst>
            <a:ext uri="{FF2B5EF4-FFF2-40B4-BE49-F238E27FC236}">
              <a16:creationId xmlns:a16="http://schemas.microsoft.com/office/drawing/2014/main" id="{00000000-0008-0000-0800-00008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3" name="Text Box 259">
          <a:extLst>
            <a:ext uri="{FF2B5EF4-FFF2-40B4-BE49-F238E27FC236}">
              <a16:creationId xmlns:a16="http://schemas.microsoft.com/office/drawing/2014/main" id="{00000000-0008-0000-0800-00008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4" name="Text Box 260">
          <a:extLst>
            <a:ext uri="{FF2B5EF4-FFF2-40B4-BE49-F238E27FC236}">
              <a16:creationId xmlns:a16="http://schemas.microsoft.com/office/drawing/2014/main" id="{00000000-0008-0000-0800-00008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5" name="Text Box 261">
          <a:extLst>
            <a:ext uri="{FF2B5EF4-FFF2-40B4-BE49-F238E27FC236}">
              <a16:creationId xmlns:a16="http://schemas.microsoft.com/office/drawing/2014/main" id="{00000000-0008-0000-0800-00008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6" name="Text Box 262">
          <a:extLst>
            <a:ext uri="{FF2B5EF4-FFF2-40B4-BE49-F238E27FC236}">
              <a16:creationId xmlns:a16="http://schemas.microsoft.com/office/drawing/2014/main" id="{00000000-0008-0000-0800-00008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7" name="Text Box 263">
          <a:extLst>
            <a:ext uri="{FF2B5EF4-FFF2-40B4-BE49-F238E27FC236}">
              <a16:creationId xmlns:a16="http://schemas.microsoft.com/office/drawing/2014/main" id="{00000000-0008-0000-0800-00008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8" name="Text Box 264">
          <a:extLst>
            <a:ext uri="{FF2B5EF4-FFF2-40B4-BE49-F238E27FC236}">
              <a16:creationId xmlns:a16="http://schemas.microsoft.com/office/drawing/2014/main" id="{00000000-0008-0000-0800-00008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9" name="Text Box 265">
          <a:extLst>
            <a:ext uri="{FF2B5EF4-FFF2-40B4-BE49-F238E27FC236}">
              <a16:creationId xmlns:a16="http://schemas.microsoft.com/office/drawing/2014/main" id="{00000000-0008-0000-0800-00008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0" name="Text Box 266">
          <a:extLst>
            <a:ext uri="{FF2B5EF4-FFF2-40B4-BE49-F238E27FC236}">
              <a16:creationId xmlns:a16="http://schemas.microsoft.com/office/drawing/2014/main" id="{00000000-0008-0000-0800-00008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1" name="Text Box 267">
          <a:extLst>
            <a:ext uri="{FF2B5EF4-FFF2-40B4-BE49-F238E27FC236}">
              <a16:creationId xmlns:a16="http://schemas.microsoft.com/office/drawing/2014/main" id="{00000000-0008-0000-0800-00008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2" name="Text Box 268">
          <a:extLst>
            <a:ext uri="{FF2B5EF4-FFF2-40B4-BE49-F238E27FC236}">
              <a16:creationId xmlns:a16="http://schemas.microsoft.com/office/drawing/2014/main" id="{00000000-0008-0000-0800-00009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3" name="Text Box 269">
          <a:extLst>
            <a:ext uri="{FF2B5EF4-FFF2-40B4-BE49-F238E27FC236}">
              <a16:creationId xmlns:a16="http://schemas.microsoft.com/office/drawing/2014/main" id="{00000000-0008-0000-0800-00009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4" name="Text Box 270">
          <a:extLst>
            <a:ext uri="{FF2B5EF4-FFF2-40B4-BE49-F238E27FC236}">
              <a16:creationId xmlns:a16="http://schemas.microsoft.com/office/drawing/2014/main" id="{00000000-0008-0000-0800-00009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5" name="Text Box 271">
          <a:extLst>
            <a:ext uri="{FF2B5EF4-FFF2-40B4-BE49-F238E27FC236}">
              <a16:creationId xmlns:a16="http://schemas.microsoft.com/office/drawing/2014/main" id="{00000000-0008-0000-0800-00009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6" name="Text Box 272">
          <a:extLst>
            <a:ext uri="{FF2B5EF4-FFF2-40B4-BE49-F238E27FC236}">
              <a16:creationId xmlns:a16="http://schemas.microsoft.com/office/drawing/2014/main" id="{00000000-0008-0000-0800-00009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7" name="Text Box 273">
          <a:extLst>
            <a:ext uri="{FF2B5EF4-FFF2-40B4-BE49-F238E27FC236}">
              <a16:creationId xmlns:a16="http://schemas.microsoft.com/office/drawing/2014/main" id="{00000000-0008-0000-0800-00009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8" name="Text Box 274">
          <a:extLst>
            <a:ext uri="{FF2B5EF4-FFF2-40B4-BE49-F238E27FC236}">
              <a16:creationId xmlns:a16="http://schemas.microsoft.com/office/drawing/2014/main" id="{00000000-0008-0000-0800-00009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9" name="Text Box 275">
          <a:extLst>
            <a:ext uri="{FF2B5EF4-FFF2-40B4-BE49-F238E27FC236}">
              <a16:creationId xmlns:a16="http://schemas.microsoft.com/office/drawing/2014/main" id="{00000000-0008-0000-0800-00009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0" name="Text Box 276">
          <a:extLst>
            <a:ext uri="{FF2B5EF4-FFF2-40B4-BE49-F238E27FC236}">
              <a16:creationId xmlns:a16="http://schemas.microsoft.com/office/drawing/2014/main" id="{00000000-0008-0000-0800-00009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1" name="Text Box 277">
          <a:extLst>
            <a:ext uri="{FF2B5EF4-FFF2-40B4-BE49-F238E27FC236}">
              <a16:creationId xmlns:a16="http://schemas.microsoft.com/office/drawing/2014/main" id="{00000000-0008-0000-0800-00009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2" name="Text Box 278">
          <a:extLst>
            <a:ext uri="{FF2B5EF4-FFF2-40B4-BE49-F238E27FC236}">
              <a16:creationId xmlns:a16="http://schemas.microsoft.com/office/drawing/2014/main" id="{00000000-0008-0000-0800-00009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3" name="Text Box 279">
          <a:extLst>
            <a:ext uri="{FF2B5EF4-FFF2-40B4-BE49-F238E27FC236}">
              <a16:creationId xmlns:a16="http://schemas.microsoft.com/office/drawing/2014/main" id="{00000000-0008-0000-0800-00009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4" name="Text Box 280">
          <a:extLst>
            <a:ext uri="{FF2B5EF4-FFF2-40B4-BE49-F238E27FC236}">
              <a16:creationId xmlns:a16="http://schemas.microsoft.com/office/drawing/2014/main" id="{00000000-0008-0000-0800-00009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5" name="Text Box 281">
          <a:extLst>
            <a:ext uri="{FF2B5EF4-FFF2-40B4-BE49-F238E27FC236}">
              <a16:creationId xmlns:a16="http://schemas.microsoft.com/office/drawing/2014/main" id="{00000000-0008-0000-0800-00009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6" name="Text Box 282">
          <a:extLst>
            <a:ext uri="{FF2B5EF4-FFF2-40B4-BE49-F238E27FC236}">
              <a16:creationId xmlns:a16="http://schemas.microsoft.com/office/drawing/2014/main" id="{00000000-0008-0000-0800-00009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7" name="Text Box 283">
          <a:extLst>
            <a:ext uri="{FF2B5EF4-FFF2-40B4-BE49-F238E27FC236}">
              <a16:creationId xmlns:a16="http://schemas.microsoft.com/office/drawing/2014/main" id="{00000000-0008-0000-0800-00009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8" name="Text Box 284">
          <a:extLst>
            <a:ext uri="{FF2B5EF4-FFF2-40B4-BE49-F238E27FC236}">
              <a16:creationId xmlns:a16="http://schemas.microsoft.com/office/drawing/2014/main" id="{00000000-0008-0000-0800-0000A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9" name="Text Box 285">
          <a:extLst>
            <a:ext uri="{FF2B5EF4-FFF2-40B4-BE49-F238E27FC236}">
              <a16:creationId xmlns:a16="http://schemas.microsoft.com/office/drawing/2014/main" id="{00000000-0008-0000-0800-0000A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0" name="Text Box 286">
          <a:extLst>
            <a:ext uri="{FF2B5EF4-FFF2-40B4-BE49-F238E27FC236}">
              <a16:creationId xmlns:a16="http://schemas.microsoft.com/office/drawing/2014/main" id="{00000000-0008-0000-0800-0000A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1" name="Text Box 287">
          <a:extLst>
            <a:ext uri="{FF2B5EF4-FFF2-40B4-BE49-F238E27FC236}">
              <a16:creationId xmlns:a16="http://schemas.microsoft.com/office/drawing/2014/main" id="{00000000-0008-0000-0800-0000A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2" name="Text Box 288">
          <a:extLst>
            <a:ext uri="{FF2B5EF4-FFF2-40B4-BE49-F238E27FC236}">
              <a16:creationId xmlns:a16="http://schemas.microsoft.com/office/drawing/2014/main" id="{00000000-0008-0000-0800-0000A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3" name="Text Box 289">
          <a:extLst>
            <a:ext uri="{FF2B5EF4-FFF2-40B4-BE49-F238E27FC236}">
              <a16:creationId xmlns:a16="http://schemas.microsoft.com/office/drawing/2014/main" id="{00000000-0008-0000-0800-0000A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4" name="Text Box 290">
          <a:extLst>
            <a:ext uri="{FF2B5EF4-FFF2-40B4-BE49-F238E27FC236}">
              <a16:creationId xmlns:a16="http://schemas.microsoft.com/office/drawing/2014/main" id="{00000000-0008-0000-0800-0000A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5" name="Text Box 291">
          <a:extLst>
            <a:ext uri="{FF2B5EF4-FFF2-40B4-BE49-F238E27FC236}">
              <a16:creationId xmlns:a16="http://schemas.microsoft.com/office/drawing/2014/main" id="{00000000-0008-0000-0800-0000A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6" name="Text Box 292">
          <a:extLst>
            <a:ext uri="{FF2B5EF4-FFF2-40B4-BE49-F238E27FC236}">
              <a16:creationId xmlns:a16="http://schemas.microsoft.com/office/drawing/2014/main" id="{00000000-0008-0000-0800-0000A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7" name="Text Box 293">
          <a:extLst>
            <a:ext uri="{FF2B5EF4-FFF2-40B4-BE49-F238E27FC236}">
              <a16:creationId xmlns:a16="http://schemas.microsoft.com/office/drawing/2014/main" id="{00000000-0008-0000-0800-0000A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8" name="Text Box 294">
          <a:extLst>
            <a:ext uri="{FF2B5EF4-FFF2-40B4-BE49-F238E27FC236}">
              <a16:creationId xmlns:a16="http://schemas.microsoft.com/office/drawing/2014/main" id="{00000000-0008-0000-0800-0000A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9" name="Text Box 295">
          <a:extLst>
            <a:ext uri="{FF2B5EF4-FFF2-40B4-BE49-F238E27FC236}">
              <a16:creationId xmlns:a16="http://schemas.microsoft.com/office/drawing/2014/main" id="{00000000-0008-0000-0800-0000A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0" name="Text Box 296">
          <a:extLst>
            <a:ext uri="{FF2B5EF4-FFF2-40B4-BE49-F238E27FC236}">
              <a16:creationId xmlns:a16="http://schemas.microsoft.com/office/drawing/2014/main" id="{00000000-0008-0000-0800-0000A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1" name="Text Box 297">
          <a:extLst>
            <a:ext uri="{FF2B5EF4-FFF2-40B4-BE49-F238E27FC236}">
              <a16:creationId xmlns:a16="http://schemas.microsoft.com/office/drawing/2014/main" id="{00000000-0008-0000-0800-0000A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2" name="Text Box 298">
          <a:extLst>
            <a:ext uri="{FF2B5EF4-FFF2-40B4-BE49-F238E27FC236}">
              <a16:creationId xmlns:a16="http://schemas.microsoft.com/office/drawing/2014/main" id="{00000000-0008-0000-0800-0000A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3" name="Text Box 299">
          <a:extLst>
            <a:ext uri="{FF2B5EF4-FFF2-40B4-BE49-F238E27FC236}">
              <a16:creationId xmlns:a16="http://schemas.microsoft.com/office/drawing/2014/main" id="{00000000-0008-0000-0800-0000A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4" name="Text Box 300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5" name="Text Box 301">
          <a:extLst>
            <a:ext uri="{FF2B5EF4-FFF2-40B4-BE49-F238E27FC236}">
              <a16:creationId xmlns:a16="http://schemas.microsoft.com/office/drawing/2014/main" id="{00000000-0008-0000-0800-0000B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6" name="Text Box 302">
          <a:extLst>
            <a:ext uri="{FF2B5EF4-FFF2-40B4-BE49-F238E27FC236}">
              <a16:creationId xmlns:a16="http://schemas.microsoft.com/office/drawing/2014/main" id="{00000000-0008-0000-0800-0000B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7" name="Text Box 303">
          <a:extLst>
            <a:ext uri="{FF2B5EF4-FFF2-40B4-BE49-F238E27FC236}">
              <a16:creationId xmlns:a16="http://schemas.microsoft.com/office/drawing/2014/main" id="{00000000-0008-0000-0800-0000B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8" name="Text Box 304">
          <a:extLst>
            <a:ext uri="{FF2B5EF4-FFF2-40B4-BE49-F238E27FC236}">
              <a16:creationId xmlns:a16="http://schemas.microsoft.com/office/drawing/2014/main" id="{00000000-0008-0000-0800-0000B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9" name="Text Box 305">
          <a:extLst>
            <a:ext uri="{FF2B5EF4-FFF2-40B4-BE49-F238E27FC236}">
              <a16:creationId xmlns:a16="http://schemas.microsoft.com/office/drawing/2014/main" id="{00000000-0008-0000-0800-0000B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0" name="Text Box 306">
          <a:extLst>
            <a:ext uri="{FF2B5EF4-FFF2-40B4-BE49-F238E27FC236}">
              <a16:creationId xmlns:a16="http://schemas.microsoft.com/office/drawing/2014/main" id="{00000000-0008-0000-0800-0000B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1" name="Text Box 307">
          <a:extLst>
            <a:ext uri="{FF2B5EF4-FFF2-40B4-BE49-F238E27FC236}">
              <a16:creationId xmlns:a16="http://schemas.microsoft.com/office/drawing/2014/main" id="{00000000-0008-0000-0800-0000B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2" name="Text Box 308">
          <a:extLst>
            <a:ext uri="{FF2B5EF4-FFF2-40B4-BE49-F238E27FC236}">
              <a16:creationId xmlns:a16="http://schemas.microsoft.com/office/drawing/2014/main" id="{00000000-0008-0000-0800-0000B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3" name="Text Box 309">
          <a:extLst>
            <a:ext uri="{FF2B5EF4-FFF2-40B4-BE49-F238E27FC236}">
              <a16:creationId xmlns:a16="http://schemas.microsoft.com/office/drawing/2014/main" id="{00000000-0008-0000-0800-0000B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4" name="Text Box 310">
          <a:extLst>
            <a:ext uri="{FF2B5EF4-FFF2-40B4-BE49-F238E27FC236}">
              <a16:creationId xmlns:a16="http://schemas.microsoft.com/office/drawing/2014/main" id="{00000000-0008-0000-0800-0000B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5" name="Text Box 311">
          <a:extLst>
            <a:ext uri="{FF2B5EF4-FFF2-40B4-BE49-F238E27FC236}">
              <a16:creationId xmlns:a16="http://schemas.microsoft.com/office/drawing/2014/main" id="{00000000-0008-0000-0800-0000B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6" name="Text Box 312">
          <a:extLst>
            <a:ext uri="{FF2B5EF4-FFF2-40B4-BE49-F238E27FC236}">
              <a16:creationId xmlns:a16="http://schemas.microsoft.com/office/drawing/2014/main" id="{00000000-0008-0000-0800-0000B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7" name="Text Box 313">
          <a:extLst>
            <a:ext uri="{FF2B5EF4-FFF2-40B4-BE49-F238E27FC236}">
              <a16:creationId xmlns:a16="http://schemas.microsoft.com/office/drawing/2014/main" id="{00000000-0008-0000-0800-0000B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8" name="Text Box 314">
          <a:extLst>
            <a:ext uri="{FF2B5EF4-FFF2-40B4-BE49-F238E27FC236}">
              <a16:creationId xmlns:a16="http://schemas.microsoft.com/office/drawing/2014/main" id="{00000000-0008-0000-0800-0000B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9" name="Text Box 315">
          <a:extLst>
            <a:ext uri="{FF2B5EF4-FFF2-40B4-BE49-F238E27FC236}">
              <a16:creationId xmlns:a16="http://schemas.microsoft.com/office/drawing/2014/main" id="{00000000-0008-0000-0800-0000B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0" name="Text Box 316">
          <a:extLst>
            <a:ext uri="{FF2B5EF4-FFF2-40B4-BE49-F238E27FC236}">
              <a16:creationId xmlns:a16="http://schemas.microsoft.com/office/drawing/2014/main" id="{00000000-0008-0000-0800-0000C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1" name="Text Box 317">
          <a:extLst>
            <a:ext uri="{FF2B5EF4-FFF2-40B4-BE49-F238E27FC236}">
              <a16:creationId xmlns:a16="http://schemas.microsoft.com/office/drawing/2014/main" id="{00000000-0008-0000-0800-0000C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2" name="Text Box 318">
          <a:extLst>
            <a:ext uri="{FF2B5EF4-FFF2-40B4-BE49-F238E27FC236}">
              <a16:creationId xmlns:a16="http://schemas.microsoft.com/office/drawing/2014/main" id="{00000000-0008-0000-0800-0000C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3" name="Text Box 319">
          <a:extLst>
            <a:ext uri="{FF2B5EF4-FFF2-40B4-BE49-F238E27FC236}">
              <a16:creationId xmlns:a16="http://schemas.microsoft.com/office/drawing/2014/main" id="{00000000-0008-0000-0800-0000C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4" name="Text Box 320">
          <a:extLst>
            <a:ext uri="{FF2B5EF4-FFF2-40B4-BE49-F238E27FC236}">
              <a16:creationId xmlns:a16="http://schemas.microsoft.com/office/drawing/2014/main" id="{00000000-0008-0000-0800-0000C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5" name="Text Box 28">
          <a:extLst>
            <a:ext uri="{FF2B5EF4-FFF2-40B4-BE49-F238E27FC236}">
              <a16:creationId xmlns:a16="http://schemas.microsoft.com/office/drawing/2014/main" id="{00000000-0008-0000-0800-0000C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6" name="Text Box 29">
          <a:extLst>
            <a:ext uri="{FF2B5EF4-FFF2-40B4-BE49-F238E27FC236}">
              <a16:creationId xmlns:a16="http://schemas.microsoft.com/office/drawing/2014/main" id="{00000000-0008-0000-0800-0000C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7" name="Text Box 30">
          <a:extLst>
            <a:ext uri="{FF2B5EF4-FFF2-40B4-BE49-F238E27FC236}">
              <a16:creationId xmlns:a16="http://schemas.microsoft.com/office/drawing/2014/main" id="{00000000-0008-0000-0800-0000C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8" name="Text Box 31">
          <a:extLst>
            <a:ext uri="{FF2B5EF4-FFF2-40B4-BE49-F238E27FC236}">
              <a16:creationId xmlns:a16="http://schemas.microsoft.com/office/drawing/2014/main" id="{00000000-0008-0000-0800-0000C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9" name="Text Box 32">
          <a:extLst>
            <a:ext uri="{FF2B5EF4-FFF2-40B4-BE49-F238E27FC236}">
              <a16:creationId xmlns:a16="http://schemas.microsoft.com/office/drawing/2014/main" id="{00000000-0008-0000-0800-0000C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0" name="Text Box 33">
          <a:extLst>
            <a:ext uri="{FF2B5EF4-FFF2-40B4-BE49-F238E27FC236}">
              <a16:creationId xmlns:a16="http://schemas.microsoft.com/office/drawing/2014/main" id="{00000000-0008-0000-0800-0000C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1" name="Text Box 34">
          <a:extLst>
            <a:ext uri="{FF2B5EF4-FFF2-40B4-BE49-F238E27FC236}">
              <a16:creationId xmlns:a16="http://schemas.microsoft.com/office/drawing/2014/main" id="{00000000-0008-0000-0800-0000C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2" name="Text Box 35">
          <a:extLst>
            <a:ext uri="{FF2B5EF4-FFF2-40B4-BE49-F238E27FC236}">
              <a16:creationId xmlns:a16="http://schemas.microsoft.com/office/drawing/2014/main" id="{00000000-0008-0000-0800-0000C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3" name="Text Box 36">
          <a:extLst>
            <a:ext uri="{FF2B5EF4-FFF2-40B4-BE49-F238E27FC236}">
              <a16:creationId xmlns:a16="http://schemas.microsoft.com/office/drawing/2014/main" id="{00000000-0008-0000-0800-0000C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4" name="Text Box 37">
          <a:extLst>
            <a:ext uri="{FF2B5EF4-FFF2-40B4-BE49-F238E27FC236}">
              <a16:creationId xmlns:a16="http://schemas.microsoft.com/office/drawing/2014/main" id="{00000000-0008-0000-0800-0000C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5" name="Text Box 38">
          <a:extLst>
            <a:ext uri="{FF2B5EF4-FFF2-40B4-BE49-F238E27FC236}">
              <a16:creationId xmlns:a16="http://schemas.microsoft.com/office/drawing/2014/main" id="{00000000-0008-0000-0800-0000C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6" name="Text Box 39">
          <a:extLst>
            <a:ext uri="{FF2B5EF4-FFF2-40B4-BE49-F238E27FC236}">
              <a16:creationId xmlns:a16="http://schemas.microsoft.com/office/drawing/2014/main" id="{00000000-0008-0000-0800-0000D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7" name="Text Box 40">
          <a:extLst>
            <a:ext uri="{FF2B5EF4-FFF2-40B4-BE49-F238E27FC236}">
              <a16:creationId xmlns:a16="http://schemas.microsoft.com/office/drawing/2014/main" id="{00000000-0008-0000-0800-0000D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8" name="Text Box 41">
          <a:extLst>
            <a:ext uri="{FF2B5EF4-FFF2-40B4-BE49-F238E27FC236}">
              <a16:creationId xmlns:a16="http://schemas.microsoft.com/office/drawing/2014/main" id="{00000000-0008-0000-0800-0000D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9" name="Text Box 42">
          <a:extLst>
            <a:ext uri="{FF2B5EF4-FFF2-40B4-BE49-F238E27FC236}">
              <a16:creationId xmlns:a16="http://schemas.microsoft.com/office/drawing/2014/main" id="{00000000-0008-0000-0800-0000D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0" name="Text Box 43">
          <a:extLst>
            <a:ext uri="{FF2B5EF4-FFF2-40B4-BE49-F238E27FC236}">
              <a16:creationId xmlns:a16="http://schemas.microsoft.com/office/drawing/2014/main" id="{00000000-0008-0000-0800-0000D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1" name="Text Box 44">
          <a:extLst>
            <a:ext uri="{FF2B5EF4-FFF2-40B4-BE49-F238E27FC236}">
              <a16:creationId xmlns:a16="http://schemas.microsoft.com/office/drawing/2014/main" id="{00000000-0008-0000-0800-0000D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2" name="Text Box 45">
          <a:extLst>
            <a:ext uri="{FF2B5EF4-FFF2-40B4-BE49-F238E27FC236}">
              <a16:creationId xmlns:a16="http://schemas.microsoft.com/office/drawing/2014/main" id="{00000000-0008-0000-0800-0000D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3" name="Text Box 46">
          <a:extLst>
            <a:ext uri="{FF2B5EF4-FFF2-40B4-BE49-F238E27FC236}">
              <a16:creationId xmlns:a16="http://schemas.microsoft.com/office/drawing/2014/main" id="{00000000-0008-0000-0800-0000D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4" name="Text Box 47">
          <a:extLst>
            <a:ext uri="{FF2B5EF4-FFF2-40B4-BE49-F238E27FC236}">
              <a16:creationId xmlns:a16="http://schemas.microsoft.com/office/drawing/2014/main" id="{00000000-0008-0000-0800-0000D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5" name="Text Box 48">
          <a:extLst>
            <a:ext uri="{FF2B5EF4-FFF2-40B4-BE49-F238E27FC236}">
              <a16:creationId xmlns:a16="http://schemas.microsoft.com/office/drawing/2014/main" id="{00000000-0008-0000-0800-0000D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6" name="Text Box 49">
          <a:extLst>
            <a:ext uri="{FF2B5EF4-FFF2-40B4-BE49-F238E27FC236}">
              <a16:creationId xmlns:a16="http://schemas.microsoft.com/office/drawing/2014/main" id="{00000000-0008-0000-0800-0000D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7" name="Text Box 50">
          <a:extLst>
            <a:ext uri="{FF2B5EF4-FFF2-40B4-BE49-F238E27FC236}">
              <a16:creationId xmlns:a16="http://schemas.microsoft.com/office/drawing/2014/main" id="{00000000-0008-0000-0800-0000D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8" name="Text Box 51">
          <a:extLst>
            <a:ext uri="{FF2B5EF4-FFF2-40B4-BE49-F238E27FC236}">
              <a16:creationId xmlns:a16="http://schemas.microsoft.com/office/drawing/2014/main" id="{00000000-0008-0000-0800-0000D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9" name="Text Box 52">
          <a:extLst>
            <a:ext uri="{FF2B5EF4-FFF2-40B4-BE49-F238E27FC236}">
              <a16:creationId xmlns:a16="http://schemas.microsoft.com/office/drawing/2014/main" id="{00000000-0008-0000-0800-0000D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0" name="Text Box 53">
          <a:extLst>
            <a:ext uri="{FF2B5EF4-FFF2-40B4-BE49-F238E27FC236}">
              <a16:creationId xmlns:a16="http://schemas.microsoft.com/office/drawing/2014/main" id="{00000000-0008-0000-0800-0000D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1" name="Text Box 54">
          <a:extLst>
            <a:ext uri="{FF2B5EF4-FFF2-40B4-BE49-F238E27FC236}">
              <a16:creationId xmlns:a16="http://schemas.microsoft.com/office/drawing/2014/main" id="{00000000-0008-0000-0800-0000D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2" name="Text Box 55">
          <a:extLst>
            <a:ext uri="{FF2B5EF4-FFF2-40B4-BE49-F238E27FC236}">
              <a16:creationId xmlns:a16="http://schemas.microsoft.com/office/drawing/2014/main" id="{00000000-0008-0000-0800-0000E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3" name="Text Box 56">
          <a:extLst>
            <a:ext uri="{FF2B5EF4-FFF2-40B4-BE49-F238E27FC236}">
              <a16:creationId xmlns:a16="http://schemas.microsoft.com/office/drawing/2014/main" id="{00000000-0008-0000-0800-0000E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4" name="Text Box 57">
          <a:extLst>
            <a:ext uri="{FF2B5EF4-FFF2-40B4-BE49-F238E27FC236}">
              <a16:creationId xmlns:a16="http://schemas.microsoft.com/office/drawing/2014/main" id="{00000000-0008-0000-0800-0000E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5" name="Text Box 58">
          <a:extLst>
            <a:ext uri="{FF2B5EF4-FFF2-40B4-BE49-F238E27FC236}">
              <a16:creationId xmlns:a16="http://schemas.microsoft.com/office/drawing/2014/main" id="{00000000-0008-0000-0800-0000E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6" name="Text Box 59">
          <a:extLst>
            <a:ext uri="{FF2B5EF4-FFF2-40B4-BE49-F238E27FC236}">
              <a16:creationId xmlns:a16="http://schemas.microsoft.com/office/drawing/2014/main" id="{00000000-0008-0000-0800-0000E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7" name="Text Box 60">
          <a:extLst>
            <a:ext uri="{FF2B5EF4-FFF2-40B4-BE49-F238E27FC236}">
              <a16:creationId xmlns:a16="http://schemas.microsoft.com/office/drawing/2014/main" id="{00000000-0008-0000-0800-0000E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8" name="Text Box 61">
          <a:extLst>
            <a:ext uri="{FF2B5EF4-FFF2-40B4-BE49-F238E27FC236}">
              <a16:creationId xmlns:a16="http://schemas.microsoft.com/office/drawing/2014/main" id="{00000000-0008-0000-0800-0000E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9" name="Text Box 62">
          <a:extLst>
            <a:ext uri="{FF2B5EF4-FFF2-40B4-BE49-F238E27FC236}">
              <a16:creationId xmlns:a16="http://schemas.microsoft.com/office/drawing/2014/main" id="{00000000-0008-0000-0800-0000E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0" name="Text Box 63">
          <a:extLst>
            <a:ext uri="{FF2B5EF4-FFF2-40B4-BE49-F238E27FC236}">
              <a16:creationId xmlns:a16="http://schemas.microsoft.com/office/drawing/2014/main" id="{00000000-0008-0000-0800-0000E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1" name="Text Box 64">
          <a:extLst>
            <a:ext uri="{FF2B5EF4-FFF2-40B4-BE49-F238E27FC236}">
              <a16:creationId xmlns:a16="http://schemas.microsoft.com/office/drawing/2014/main" id="{00000000-0008-0000-0800-0000E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2" name="Text Box 65">
          <a:extLst>
            <a:ext uri="{FF2B5EF4-FFF2-40B4-BE49-F238E27FC236}">
              <a16:creationId xmlns:a16="http://schemas.microsoft.com/office/drawing/2014/main" id="{00000000-0008-0000-0800-0000E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3" name="Text Box 66">
          <a:extLst>
            <a:ext uri="{FF2B5EF4-FFF2-40B4-BE49-F238E27FC236}">
              <a16:creationId xmlns:a16="http://schemas.microsoft.com/office/drawing/2014/main" id="{00000000-0008-0000-0800-0000E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4" name="Text Box 67">
          <a:extLst>
            <a:ext uri="{FF2B5EF4-FFF2-40B4-BE49-F238E27FC236}">
              <a16:creationId xmlns:a16="http://schemas.microsoft.com/office/drawing/2014/main" id="{00000000-0008-0000-0800-0000E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5" name="Text Box 68">
          <a:extLst>
            <a:ext uri="{FF2B5EF4-FFF2-40B4-BE49-F238E27FC236}">
              <a16:creationId xmlns:a16="http://schemas.microsoft.com/office/drawing/2014/main" id="{00000000-0008-0000-0800-0000E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6" name="Text Box 69">
          <a:extLst>
            <a:ext uri="{FF2B5EF4-FFF2-40B4-BE49-F238E27FC236}">
              <a16:creationId xmlns:a16="http://schemas.microsoft.com/office/drawing/2014/main" id="{00000000-0008-0000-0800-0000E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7" name="Text Box 70">
          <a:extLst>
            <a:ext uri="{FF2B5EF4-FFF2-40B4-BE49-F238E27FC236}">
              <a16:creationId xmlns:a16="http://schemas.microsoft.com/office/drawing/2014/main" id="{00000000-0008-0000-0800-0000E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8" name="Text Box 71">
          <a:extLst>
            <a:ext uri="{FF2B5EF4-FFF2-40B4-BE49-F238E27FC236}">
              <a16:creationId xmlns:a16="http://schemas.microsoft.com/office/drawing/2014/main" id="{00000000-0008-0000-0800-0000F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9" name="Text Box 72">
          <a:extLst>
            <a:ext uri="{FF2B5EF4-FFF2-40B4-BE49-F238E27FC236}">
              <a16:creationId xmlns:a16="http://schemas.microsoft.com/office/drawing/2014/main" id="{00000000-0008-0000-0800-0000F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0" name="Text Box 73">
          <a:extLst>
            <a:ext uri="{FF2B5EF4-FFF2-40B4-BE49-F238E27FC236}">
              <a16:creationId xmlns:a16="http://schemas.microsoft.com/office/drawing/2014/main" id="{00000000-0008-0000-0800-0000F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1" name="Text Box 74">
          <a:extLst>
            <a:ext uri="{FF2B5EF4-FFF2-40B4-BE49-F238E27FC236}">
              <a16:creationId xmlns:a16="http://schemas.microsoft.com/office/drawing/2014/main" id="{00000000-0008-0000-0800-0000F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2" name="Text Box 75">
          <a:extLst>
            <a:ext uri="{FF2B5EF4-FFF2-40B4-BE49-F238E27FC236}">
              <a16:creationId xmlns:a16="http://schemas.microsoft.com/office/drawing/2014/main" id="{00000000-0008-0000-0800-0000F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3" name="Text Box 76">
          <a:extLst>
            <a:ext uri="{FF2B5EF4-FFF2-40B4-BE49-F238E27FC236}">
              <a16:creationId xmlns:a16="http://schemas.microsoft.com/office/drawing/2014/main" id="{00000000-0008-0000-0800-0000F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4" name="Text Box 77">
          <a:extLst>
            <a:ext uri="{FF2B5EF4-FFF2-40B4-BE49-F238E27FC236}">
              <a16:creationId xmlns:a16="http://schemas.microsoft.com/office/drawing/2014/main" id="{00000000-0008-0000-0800-0000F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5" name="Text Box 78">
          <a:extLst>
            <a:ext uri="{FF2B5EF4-FFF2-40B4-BE49-F238E27FC236}">
              <a16:creationId xmlns:a16="http://schemas.microsoft.com/office/drawing/2014/main" id="{00000000-0008-0000-0800-0000F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6" name="Text Box 79">
          <a:extLst>
            <a:ext uri="{FF2B5EF4-FFF2-40B4-BE49-F238E27FC236}">
              <a16:creationId xmlns:a16="http://schemas.microsoft.com/office/drawing/2014/main" id="{00000000-0008-0000-0800-0000F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7" name="Text Box 80">
          <a:extLst>
            <a:ext uri="{FF2B5EF4-FFF2-40B4-BE49-F238E27FC236}">
              <a16:creationId xmlns:a16="http://schemas.microsoft.com/office/drawing/2014/main" id="{00000000-0008-0000-0800-0000F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8" name="Text Box 81">
          <a:extLst>
            <a:ext uri="{FF2B5EF4-FFF2-40B4-BE49-F238E27FC236}">
              <a16:creationId xmlns:a16="http://schemas.microsoft.com/office/drawing/2014/main" id="{00000000-0008-0000-0800-0000F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9" name="Text Box 82">
          <a:extLst>
            <a:ext uri="{FF2B5EF4-FFF2-40B4-BE49-F238E27FC236}">
              <a16:creationId xmlns:a16="http://schemas.microsoft.com/office/drawing/2014/main" id="{00000000-0008-0000-0800-0000F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0" name="Text Box 83">
          <a:extLst>
            <a:ext uri="{FF2B5EF4-FFF2-40B4-BE49-F238E27FC236}">
              <a16:creationId xmlns:a16="http://schemas.microsoft.com/office/drawing/2014/main" id="{00000000-0008-0000-0800-0000F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1" name="Text Box 84">
          <a:extLst>
            <a:ext uri="{FF2B5EF4-FFF2-40B4-BE49-F238E27FC236}">
              <a16:creationId xmlns:a16="http://schemas.microsoft.com/office/drawing/2014/main" id="{00000000-0008-0000-0800-0000F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2" name="Text Box 85">
          <a:extLst>
            <a:ext uri="{FF2B5EF4-FFF2-40B4-BE49-F238E27FC236}">
              <a16:creationId xmlns:a16="http://schemas.microsoft.com/office/drawing/2014/main" id="{00000000-0008-0000-0800-0000F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3" name="Text Box 86">
          <a:extLst>
            <a:ext uri="{FF2B5EF4-FFF2-40B4-BE49-F238E27FC236}">
              <a16:creationId xmlns:a16="http://schemas.microsoft.com/office/drawing/2014/main" id="{00000000-0008-0000-0800-0000F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4" name="Text Box 87">
          <a:extLst>
            <a:ext uri="{FF2B5EF4-FFF2-40B4-BE49-F238E27FC236}">
              <a16:creationId xmlns:a16="http://schemas.microsoft.com/office/drawing/2014/main" id="{00000000-0008-0000-0800-00000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5" name="Text Box 88">
          <a:extLst>
            <a:ext uri="{FF2B5EF4-FFF2-40B4-BE49-F238E27FC236}">
              <a16:creationId xmlns:a16="http://schemas.microsoft.com/office/drawing/2014/main" id="{00000000-0008-0000-0800-00000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6" name="Text Box 89">
          <a:extLst>
            <a:ext uri="{FF2B5EF4-FFF2-40B4-BE49-F238E27FC236}">
              <a16:creationId xmlns:a16="http://schemas.microsoft.com/office/drawing/2014/main" id="{00000000-0008-0000-0800-00000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7" name="Text Box 90">
          <a:extLst>
            <a:ext uri="{FF2B5EF4-FFF2-40B4-BE49-F238E27FC236}">
              <a16:creationId xmlns:a16="http://schemas.microsoft.com/office/drawing/2014/main" id="{00000000-0008-0000-0800-00000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8" name="Text Box 91">
          <a:extLst>
            <a:ext uri="{FF2B5EF4-FFF2-40B4-BE49-F238E27FC236}">
              <a16:creationId xmlns:a16="http://schemas.microsoft.com/office/drawing/2014/main" id="{00000000-0008-0000-0800-00000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9" name="Text Box 92">
          <a:extLst>
            <a:ext uri="{FF2B5EF4-FFF2-40B4-BE49-F238E27FC236}">
              <a16:creationId xmlns:a16="http://schemas.microsoft.com/office/drawing/2014/main" id="{00000000-0008-0000-0800-00000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0" name="Text Box 93">
          <a:extLst>
            <a:ext uri="{FF2B5EF4-FFF2-40B4-BE49-F238E27FC236}">
              <a16:creationId xmlns:a16="http://schemas.microsoft.com/office/drawing/2014/main" id="{00000000-0008-0000-0800-00000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1" name="Text Box 94">
          <a:extLst>
            <a:ext uri="{FF2B5EF4-FFF2-40B4-BE49-F238E27FC236}">
              <a16:creationId xmlns:a16="http://schemas.microsoft.com/office/drawing/2014/main" id="{00000000-0008-0000-0800-00000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2" name="Text Box 95">
          <a:extLst>
            <a:ext uri="{FF2B5EF4-FFF2-40B4-BE49-F238E27FC236}">
              <a16:creationId xmlns:a16="http://schemas.microsoft.com/office/drawing/2014/main" id="{00000000-0008-0000-0800-00000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3" name="Text Box 96">
          <a:extLst>
            <a:ext uri="{FF2B5EF4-FFF2-40B4-BE49-F238E27FC236}">
              <a16:creationId xmlns:a16="http://schemas.microsoft.com/office/drawing/2014/main" id="{00000000-0008-0000-0800-00000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4" name="Text Box 97">
          <a:extLst>
            <a:ext uri="{FF2B5EF4-FFF2-40B4-BE49-F238E27FC236}">
              <a16:creationId xmlns:a16="http://schemas.microsoft.com/office/drawing/2014/main" id="{00000000-0008-0000-0800-00000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5" name="Text Box 100">
          <a:extLst>
            <a:ext uri="{FF2B5EF4-FFF2-40B4-BE49-F238E27FC236}">
              <a16:creationId xmlns:a16="http://schemas.microsoft.com/office/drawing/2014/main" id="{00000000-0008-0000-0800-00000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6" name="Text Box 101">
          <a:extLst>
            <a:ext uri="{FF2B5EF4-FFF2-40B4-BE49-F238E27FC236}">
              <a16:creationId xmlns:a16="http://schemas.microsoft.com/office/drawing/2014/main" id="{00000000-0008-0000-0800-00000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7" name="Text Box 102">
          <a:extLst>
            <a:ext uri="{FF2B5EF4-FFF2-40B4-BE49-F238E27FC236}">
              <a16:creationId xmlns:a16="http://schemas.microsoft.com/office/drawing/2014/main" id="{00000000-0008-0000-0800-00000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8" name="Text Box 103">
          <a:extLst>
            <a:ext uri="{FF2B5EF4-FFF2-40B4-BE49-F238E27FC236}">
              <a16:creationId xmlns:a16="http://schemas.microsoft.com/office/drawing/2014/main" id="{00000000-0008-0000-0800-00000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9" name="Text Box 104">
          <a:extLst>
            <a:ext uri="{FF2B5EF4-FFF2-40B4-BE49-F238E27FC236}">
              <a16:creationId xmlns:a16="http://schemas.microsoft.com/office/drawing/2014/main" id="{00000000-0008-0000-0800-00000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0" name="Text Box 105">
          <a:extLst>
            <a:ext uri="{FF2B5EF4-FFF2-40B4-BE49-F238E27FC236}">
              <a16:creationId xmlns:a16="http://schemas.microsoft.com/office/drawing/2014/main" id="{00000000-0008-0000-0800-00001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1" name="Text Box 106">
          <a:extLst>
            <a:ext uri="{FF2B5EF4-FFF2-40B4-BE49-F238E27FC236}">
              <a16:creationId xmlns:a16="http://schemas.microsoft.com/office/drawing/2014/main" id="{00000000-0008-0000-0800-00001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2" name="Text Box 107">
          <a:extLst>
            <a:ext uri="{FF2B5EF4-FFF2-40B4-BE49-F238E27FC236}">
              <a16:creationId xmlns:a16="http://schemas.microsoft.com/office/drawing/2014/main" id="{00000000-0008-0000-0800-00001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3" name="Text Box 108">
          <a:extLst>
            <a:ext uri="{FF2B5EF4-FFF2-40B4-BE49-F238E27FC236}">
              <a16:creationId xmlns:a16="http://schemas.microsoft.com/office/drawing/2014/main" id="{00000000-0008-0000-0800-00001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4" name="Text Box 109">
          <a:extLst>
            <a:ext uri="{FF2B5EF4-FFF2-40B4-BE49-F238E27FC236}">
              <a16:creationId xmlns:a16="http://schemas.microsoft.com/office/drawing/2014/main" id="{00000000-0008-0000-0800-00001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5" name="Text Box 110">
          <a:extLst>
            <a:ext uri="{FF2B5EF4-FFF2-40B4-BE49-F238E27FC236}">
              <a16:creationId xmlns:a16="http://schemas.microsoft.com/office/drawing/2014/main" id="{00000000-0008-0000-0800-00001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6" name="Text Box 111">
          <a:extLst>
            <a:ext uri="{FF2B5EF4-FFF2-40B4-BE49-F238E27FC236}">
              <a16:creationId xmlns:a16="http://schemas.microsoft.com/office/drawing/2014/main" id="{00000000-0008-0000-0800-00001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7" name="Text Box 119">
          <a:extLst>
            <a:ext uri="{FF2B5EF4-FFF2-40B4-BE49-F238E27FC236}">
              <a16:creationId xmlns:a16="http://schemas.microsoft.com/office/drawing/2014/main" id="{00000000-0008-0000-0800-00001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8" name="Text Box 120">
          <a:extLst>
            <a:ext uri="{FF2B5EF4-FFF2-40B4-BE49-F238E27FC236}">
              <a16:creationId xmlns:a16="http://schemas.microsoft.com/office/drawing/2014/main" id="{00000000-0008-0000-0800-00001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9" name="Text Box 121">
          <a:extLst>
            <a:ext uri="{FF2B5EF4-FFF2-40B4-BE49-F238E27FC236}">
              <a16:creationId xmlns:a16="http://schemas.microsoft.com/office/drawing/2014/main" id="{00000000-0008-0000-0800-00001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0" name="Text Box 122">
          <a:extLst>
            <a:ext uri="{FF2B5EF4-FFF2-40B4-BE49-F238E27FC236}">
              <a16:creationId xmlns:a16="http://schemas.microsoft.com/office/drawing/2014/main" id="{00000000-0008-0000-0800-00001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1" name="Text Box 123">
          <a:extLst>
            <a:ext uri="{FF2B5EF4-FFF2-40B4-BE49-F238E27FC236}">
              <a16:creationId xmlns:a16="http://schemas.microsoft.com/office/drawing/2014/main" id="{00000000-0008-0000-0800-00001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2" name="Text Box 124">
          <a:extLst>
            <a:ext uri="{FF2B5EF4-FFF2-40B4-BE49-F238E27FC236}">
              <a16:creationId xmlns:a16="http://schemas.microsoft.com/office/drawing/2014/main" id="{00000000-0008-0000-0800-00001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3" name="Text Box 125">
          <a:extLst>
            <a:ext uri="{FF2B5EF4-FFF2-40B4-BE49-F238E27FC236}">
              <a16:creationId xmlns:a16="http://schemas.microsoft.com/office/drawing/2014/main" id="{00000000-0008-0000-0800-00001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4" name="Text Box 126">
          <a:extLst>
            <a:ext uri="{FF2B5EF4-FFF2-40B4-BE49-F238E27FC236}">
              <a16:creationId xmlns:a16="http://schemas.microsoft.com/office/drawing/2014/main" id="{00000000-0008-0000-0800-00001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5" name="Text Box 127">
          <a:extLst>
            <a:ext uri="{FF2B5EF4-FFF2-40B4-BE49-F238E27FC236}">
              <a16:creationId xmlns:a16="http://schemas.microsoft.com/office/drawing/2014/main" id="{00000000-0008-0000-0800-00001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6" name="Text Box 128">
          <a:extLst>
            <a:ext uri="{FF2B5EF4-FFF2-40B4-BE49-F238E27FC236}">
              <a16:creationId xmlns:a16="http://schemas.microsoft.com/office/drawing/2014/main" id="{00000000-0008-0000-0800-00002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7" name="Text Box 129">
          <a:extLst>
            <a:ext uri="{FF2B5EF4-FFF2-40B4-BE49-F238E27FC236}">
              <a16:creationId xmlns:a16="http://schemas.microsoft.com/office/drawing/2014/main" id="{00000000-0008-0000-0800-00002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8" name="Text Box 130">
          <a:extLst>
            <a:ext uri="{FF2B5EF4-FFF2-40B4-BE49-F238E27FC236}">
              <a16:creationId xmlns:a16="http://schemas.microsoft.com/office/drawing/2014/main" id="{00000000-0008-0000-0800-00002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39" name="Text Box 133">
          <a:extLst>
            <a:ext uri="{FF2B5EF4-FFF2-40B4-BE49-F238E27FC236}">
              <a16:creationId xmlns:a16="http://schemas.microsoft.com/office/drawing/2014/main" id="{00000000-0008-0000-0800-00002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0" name="Text Box 134">
          <a:extLst>
            <a:ext uri="{FF2B5EF4-FFF2-40B4-BE49-F238E27FC236}">
              <a16:creationId xmlns:a16="http://schemas.microsoft.com/office/drawing/2014/main" id="{00000000-0008-0000-0800-00002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1" name="Text Box 135">
          <a:extLst>
            <a:ext uri="{FF2B5EF4-FFF2-40B4-BE49-F238E27FC236}">
              <a16:creationId xmlns:a16="http://schemas.microsoft.com/office/drawing/2014/main" id="{00000000-0008-0000-0800-00002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2" name="Text Box 136">
          <a:extLst>
            <a:ext uri="{FF2B5EF4-FFF2-40B4-BE49-F238E27FC236}">
              <a16:creationId xmlns:a16="http://schemas.microsoft.com/office/drawing/2014/main" id="{00000000-0008-0000-0800-00002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3" name="Text Box 137">
          <a:extLst>
            <a:ext uri="{FF2B5EF4-FFF2-40B4-BE49-F238E27FC236}">
              <a16:creationId xmlns:a16="http://schemas.microsoft.com/office/drawing/2014/main" id="{00000000-0008-0000-0800-00002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4" name="Text Box 138">
          <a:extLst>
            <a:ext uri="{FF2B5EF4-FFF2-40B4-BE49-F238E27FC236}">
              <a16:creationId xmlns:a16="http://schemas.microsoft.com/office/drawing/2014/main" id="{00000000-0008-0000-0800-00002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5" name="Text Box 139">
          <a:extLst>
            <a:ext uri="{FF2B5EF4-FFF2-40B4-BE49-F238E27FC236}">
              <a16:creationId xmlns:a16="http://schemas.microsoft.com/office/drawing/2014/main" id="{00000000-0008-0000-0800-00002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6" name="Text Box 140">
          <a:extLst>
            <a:ext uri="{FF2B5EF4-FFF2-40B4-BE49-F238E27FC236}">
              <a16:creationId xmlns:a16="http://schemas.microsoft.com/office/drawing/2014/main" id="{00000000-0008-0000-0800-00002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7" name="Text Box 141">
          <a:extLst>
            <a:ext uri="{FF2B5EF4-FFF2-40B4-BE49-F238E27FC236}">
              <a16:creationId xmlns:a16="http://schemas.microsoft.com/office/drawing/2014/main" id="{00000000-0008-0000-0800-00002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8" name="Text Box 142">
          <a:extLst>
            <a:ext uri="{FF2B5EF4-FFF2-40B4-BE49-F238E27FC236}">
              <a16:creationId xmlns:a16="http://schemas.microsoft.com/office/drawing/2014/main" id="{00000000-0008-0000-0800-00002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9" name="Text Box 143">
          <a:extLst>
            <a:ext uri="{FF2B5EF4-FFF2-40B4-BE49-F238E27FC236}">
              <a16:creationId xmlns:a16="http://schemas.microsoft.com/office/drawing/2014/main" id="{00000000-0008-0000-0800-00002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0" name="Text Box 144">
          <a:extLst>
            <a:ext uri="{FF2B5EF4-FFF2-40B4-BE49-F238E27FC236}">
              <a16:creationId xmlns:a16="http://schemas.microsoft.com/office/drawing/2014/main" id="{00000000-0008-0000-0800-00002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1" name="Text Box 145">
          <a:extLst>
            <a:ext uri="{FF2B5EF4-FFF2-40B4-BE49-F238E27FC236}">
              <a16:creationId xmlns:a16="http://schemas.microsoft.com/office/drawing/2014/main" id="{00000000-0008-0000-0800-00002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2" name="Text Box 146">
          <a:extLst>
            <a:ext uri="{FF2B5EF4-FFF2-40B4-BE49-F238E27FC236}">
              <a16:creationId xmlns:a16="http://schemas.microsoft.com/office/drawing/2014/main" id="{00000000-0008-0000-0800-00003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3" name="Text Box 147">
          <a:extLst>
            <a:ext uri="{FF2B5EF4-FFF2-40B4-BE49-F238E27FC236}">
              <a16:creationId xmlns:a16="http://schemas.microsoft.com/office/drawing/2014/main" id="{00000000-0008-0000-0800-00003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4" name="Text Box 148">
          <a:extLst>
            <a:ext uri="{FF2B5EF4-FFF2-40B4-BE49-F238E27FC236}">
              <a16:creationId xmlns:a16="http://schemas.microsoft.com/office/drawing/2014/main" id="{00000000-0008-0000-0800-00003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5" name="Text Box 149">
          <a:extLst>
            <a:ext uri="{FF2B5EF4-FFF2-40B4-BE49-F238E27FC236}">
              <a16:creationId xmlns:a16="http://schemas.microsoft.com/office/drawing/2014/main" id="{00000000-0008-0000-0800-00003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6" name="Text Box 150">
          <a:extLst>
            <a:ext uri="{FF2B5EF4-FFF2-40B4-BE49-F238E27FC236}">
              <a16:creationId xmlns:a16="http://schemas.microsoft.com/office/drawing/2014/main" id="{00000000-0008-0000-0800-00003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7" name="Text Box 151">
          <a:extLst>
            <a:ext uri="{FF2B5EF4-FFF2-40B4-BE49-F238E27FC236}">
              <a16:creationId xmlns:a16="http://schemas.microsoft.com/office/drawing/2014/main" id="{00000000-0008-0000-0800-00003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8" name="Text Box 152">
          <a:extLst>
            <a:ext uri="{FF2B5EF4-FFF2-40B4-BE49-F238E27FC236}">
              <a16:creationId xmlns:a16="http://schemas.microsoft.com/office/drawing/2014/main" id="{00000000-0008-0000-0800-00003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9" name="Text Box 153">
          <a:extLst>
            <a:ext uri="{FF2B5EF4-FFF2-40B4-BE49-F238E27FC236}">
              <a16:creationId xmlns:a16="http://schemas.microsoft.com/office/drawing/2014/main" id="{00000000-0008-0000-0800-00003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0" name="Text Box 154">
          <a:extLst>
            <a:ext uri="{FF2B5EF4-FFF2-40B4-BE49-F238E27FC236}">
              <a16:creationId xmlns:a16="http://schemas.microsoft.com/office/drawing/2014/main" id="{00000000-0008-0000-0800-00003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1" name="Text Box 155">
          <a:extLst>
            <a:ext uri="{FF2B5EF4-FFF2-40B4-BE49-F238E27FC236}">
              <a16:creationId xmlns:a16="http://schemas.microsoft.com/office/drawing/2014/main" id="{00000000-0008-0000-0800-00003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2" name="Text Box 156">
          <a:extLst>
            <a:ext uri="{FF2B5EF4-FFF2-40B4-BE49-F238E27FC236}">
              <a16:creationId xmlns:a16="http://schemas.microsoft.com/office/drawing/2014/main" id="{00000000-0008-0000-0800-00003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3" name="Text Box 157">
          <a:extLst>
            <a:ext uri="{FF2B5EF4-FFF2-40B4-BE49-F238E27FC236}">
              <a16:creationId xmlns:a16="http://schemas.microsoft.com/office/drawing/2014/main" id="{00000000-0008-0000-0800-00003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4" name="Text Box 158">
          <a:extLst>
            <a:ext uri="{FF2B5EF4-FFF2-40B4-BE49-F238E27FC236}">
              <a16:creationId xmlns:a16="http://schemas.microsoft.com/office/drawing/2014/main" id="{00000000-0008-0000-0800-00003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5" name="Text Box 159">
          <a:extLst>
            <a:ext uri="{FF2B5EF4-FFF2-40B4-BE49-F238E27FC236}">
              <a16:creationId xmlns:a16="http://schemas.microsoft.com/office/drawing/2014/main" id="{00000000-0008-0000-0800-00003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6" name="Text Box 160">
          <a:extLst>
            <a:ext uri="{FF2B5EF4-FFF2-40B4-BE49-F238E27FC236}">
              <a16:creationId xmlns:a16="http://schemas.microsoft.com/office/drawing/2014/main" id="{00000000-0008-0000-0800-00003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7" name="Text Box 161">
          <a:extLst>
            <a:ext uri="{FF2B5EF4-FFF2-40B4-BE49-F238E27FC236}">
              <a16:creationId xmlns:a16="http://schemas.microsoft.com/office/drawing/2014/main" id="{00000000-0008-0000-0800-00003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8" name="Text Box 162">
          <a:extLst>
            <a:ext uri="{FF2B5EF4-FFF2-40B4-BE49-F238E27FC236}">
              <a16:creationId xmlns:a16="http://schemas.microsoft.com/office/drawing/2014/main" id="{00000000-0008-0000-0800-00004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9" name="Text Box 163">
          <a:extLst>
            <a:ext uri="{FF2B5EF4-FFF2-40B4-BE49-F238E27FC236}">
              <a16:creationId xmlns:a16="http://schemas.microsoft.com/office/drawing/2014/main" id="{00000000-0008-0000-0800-00004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0" name="Text Box 164">
          <a:extLst>
            <a:ext uri="{FF2B5EF4-FFF2-40B4-BE49-F238E27FC236}">
              <a16:creationId xmlns:a16="http://schemas.microsoft.com/office/drawing/2014/main" id="{00000000-0008-0000-0800-00004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1" name="Text Box 165">
          <a:extLst>
            <a:ext uri="{FF2B5EF4-FFF2-40B4-BE49-F238E27FC236}">
              <a16:creationId xmlns:a16="http://schemas.microsoft.com/office/drawing/2014/main" id="{00000000-0008-0000-0800-00004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2" name="Text Box 166">
          <a:extLst>
            <a:ext uri="{FF2B5EF4-FFF2-40B4-BE49-F238E27FC236}">
              <a16:creationId xmlns:a16="http://schemas.microsoft.com/office/drawing/2014/main" id="{00000000-0008-0000-0800-00004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3" name="Text Box 167">
          <a:extLst>
            <a:ext uri="{FF2B5EF4-FFF2-40B4-BE49-F238E27FC236}">
              <a16:creationId xmlns:a16="http://schemas.microsoft.com/office/drawing/2014/main" id="{00000000-0008-0000-0800-00004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4" name="Text Box 168">
          <a:extLst>
            <a:ext uri="{FF2B5EF4-FFF2-40B4-BE49-F238E27FC236}">
              <a16:creationId xmlns:a16="http://schemas.microsoft.com/office/drawing/2014/main" id="{00000000-0008-0000-0800-00004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5" name="Text Box 169">
          <a:extLst>
            <a:ext uri="{FF2B5EF4-FFF2-40B4-BE49-F238E27FC236}">
              <a16:creationId xmlns:a16="http://schemas.microsoft.com/office/drawing/2014/main" id="{00000000-0008-0000-0800-00004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6" name="Text Box 170">
          <a:extLst>
            <a:ext uri="{FF2B5EF4-FFF2-40B4-BE49-F238E27FC236}">
              <a16:creationId xmlns:a16="http://schemas.microsoft.com/office/drawing/2014/main" id="{00000000-0008-0000-0800-00004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7" name="Text Box 171">
          <a:extLst>
            <a:ext uri="{FF2B5EF4-FFF2-40B4-BE49-F238E27FC236}">
              <a16:creationId xmlns:a16="http://schemas.microsoft.com/office/drawing/2014/main" id="{00000000-0008-0000-0800-00004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8" name="Text Box 172">
          <a:extLst>
            <a:ext uri="{FF2B5EF4-FFF2-40B4-BE49-F238E27FC236}">
              <a16:creationId xmlns:a16="http://schemas.microsoft.com/office/drawing/2014/main" id="{00000000-0008-0000-0800-00004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9" name="Text Box 173">
          <a:extLst>
            <a:ext uri="{FF2B5EF4-FFF2-40B4-BE49-F238E27FC236}">
              <a16:creationId xmlns:a16="http://schemas.microsoft.com/office/drawing/2014/main" id="{00000000-0008-0000-0800-00004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0" name="Text Box 174">
          <a:extLst>
            <a:ext uri="{FF2B5EF4-FFF2-40B4-BE49-F238E27FC236}">
              <a16:creationId xmlns:a16="http://schemas.microsoft.com/office/drawing/2014/main" id="{00000000-0008-0000-0800-00004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1" name="Text Box 175">
          <a:extLst>
            <a:ext uri="{FF2B5EF4-FFF2-40B4-BE49-F238E27FC236}">
              <a16:creationId xmlns:a16="http://schemas.microsoft.com/office/drawing/2014/main" id="{00000000-0008-0000-0800-00004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2" name="Text Box 176">
          <a:extLst>
            <a:ext uri="{FF2B5EF4-FFF2-40B4-BE49-F238E27FC236}">
              <a16:creationId xmlns:a16="http://schemas.microsoft.com/office/drawing/2014/main" id="{00000000-0008-0000-0800-00004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3" name="Text Box 177">
          <a:extLst>
            <a:ext uri="{FF2B5EF4-FFF2-40B4-BE49-F238E27FC236}">
              <a16:creationId xmlns:a16="http://schemas.microsoft.com/office/drawing/2014/main" id="{00000000-0008-0000-0800-00004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4" name="Text Box 178">
          <a:extLst>
            <a:ext uri="{FF2B5EF4-FFF2-40B4-BE49-F238E27FC236}">
              <a16:creationId xmlns:a16="http://schemas.microsoft.com/office/drawing/2014/main" id="{00000000-0008-0000-0800-00005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5" name="Text Box 179">
          <a:extLst>
            <a:ext uri="{FF2B5EF4-FFF2-40B4-BE49-F238E27FC236}">
              <a16:creationId xmlns:a16="http://schemas.microsoft.com/office/drawing/2014/main" id="{00000000-0008-0000-0800-00005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6" name="Text Box 180">
          <a:extLst>
            <a:ext uri="{FF2B5EF4-FFF2-40B4-BE49-F238E27FC236}">
              <a16:creationId xmlns:a16="http://schemas.microsoft.com/office/drawing/2014/main" id="{00000000-0008-0000-0800-00005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7" name="Text Box 181">
          <a:extLst>
            <a:ext uri="{FF2B5EF4-FFF2-40B4-BE49-F238E27FC236}">
              <a16:creationId xmlns:a16="http://schemas.microsoft.com/office/drawing/2014/main" id="{00000000-0008-0000-0800-00005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8" name="Text Box 182">
          <a:extLst>
            <a:ext uri="{FF2B5EF4-FFF2-40B4-BE49-F238E27FC236}">
              <a16:creationId xmlns:a16="http://schemas.microsoft.com/office/drawing/2014/main" id="{00000000-0008-0000-0800-00005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9" name="Text Box 183">
          <a:extLst>
            <a:ext uri="{FF2B5EF4-FFF2-40B4-BE49-F238E27FC236}">
              <a16:creationId xmlns:a16="http://schemas.microsoft.com/office/drawing/2014/main" id="{00000000-0008-0000-0800-00005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0" name="Text Box 184">
          <a:extLst>
            <a:ext uri="{FF2B5EF4-FFF2-40B4-BE49-F238E27FC236}">
              <a16:creationId xmlns:a16="http://schemas.microsoft.com/office/drawing/2014/main" id="{00000000-0008-0000-0800-00005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1" name="Text Box 185">
          <a:extLst>
            <a:ext uri="{FF2B5EF4-FFF2-40B4-BE49-F238E27FC236}">
              <a16:creationId xmlns:a16="http://schemas.microsoft.com/office/drawing/2014/main" id="{00000000-0008-0000-0800-00005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2" name="Text Box 186">
          <a:extLst>
            <a:ext uri="{FF2B5EF4-FFF2-40B4-BE49-F238E27FC236}">
              <a16:creationId xmlns:a16="http://schemas.microsoft.com/office/drawing/2014/main" id="{00000000-0008-0000-0800-00005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3" name="Text Box 187">
          <a:extLst>
            <a:ext uri="{FF2B5EF4-FFF2-40B4-BE49-F238E27FC236}">
              <a16:creationId xmlns:a16="http://schemas.microsoft.com/office/drawing/2014/main" id="{00000000-0008-0000-0800-00005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4" name="Text Box 188">
          <a:extLst>
            <a:ext uri="{FF2B5EF4-FFF2-40B4-BE49-F238E27FC236}">
              <a16:creationId xmlns:a16="http://schemas.microsoft.com/office/drawing/2014/main" id="{00000000-0008-0000-0800-00005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5" name="Text Box 189">
          <a:extLst>
            <a:ext uri="{FF2B5EF4-FFF2-40B4-BE49-F238E27FC236}">
              <a16:creationId xmlns:a16="http://schemas.microsoft.com/office/drawing/2014/main" id="{00000000-0008-0000-0800-00005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6" name="Text Box 190">
          <a:extLst>
            <a:ext uri="{FF2B5EF4-FFF2-40B4-BE49-F238E27FC236}">
              <a16:creationId xmlns:a16="http://schemas.microsoft.com/office/drawing/2014/main" id="{00000000-0008-0000-0800-00005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7" name="Text Box 191">
          <a:extLst>
            <a:ext uri="{FF2B5EF4-FFF2-40B4-BE49-F238E27FC236}">
              <a16:creationId xmlns:a16="http://schemas.microsoft.com/office/drawing/2014/main" id="{00000000-0008-0000-0800-00005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8" name="Text Box 192">
          <a:extLst>
            <a:ext uri="{FF2B5EF4-FFF2-40B4-BE49-F238E27FC236}">
              <a16:creationId xmlns:a16="http://schemas.microsoft.com/office/drawing/2014/main" id="{00000000-0008-0000-0800-00005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9" name="Text Box 193">
          <a:extLst>
            <a:ext uri="{FF2B5EF4-FFF2-40B4-BE49-F238E27FC236}">
              <a16:creationId xmlns:a16="http://schemas.microsoft.com/office/drawing/2014/main" id="{00000000-0008-0000-0800-00005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0" name="Text Box 194">
          <a:extLst>
            <a:ext uri="{FF2B5EF4-FFF2-40B4-BE49-F238E27FC236}">
              <a16:creationId xmlns:a16="http://schemas.microsoft.com/office/drawing/2014/main" id="{00000000-0008-0000-0800-00006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1" name="Text Box 195">
          <a:extLst>
            <a:ext uri="{FF2B5EF4-FFF2-40B4-BE49-F238E27FC236}">
              <a16:creationId xmlns:a16="http://schemas.microsoft.com/office/drawing/2014/main" id="{00000000-0008-0000-0800-00006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2" name="Text Box 196">
          <a:extLst>
            <a:ext uri="{FF2B5EF4-FFF2-40B4-BE49-F238E27FC236}">
              <a16:creationId xmlns:a16="http://schemas.microsoft.com/office/drawing/2014/main" id="{00000000-0008-0000-0800-00006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3" name="Text Box 197">
          <a:extLst>
            <a:ext uri="{FF2B5EF4-FFF2-40B4-BE49-F238E27FC236}">
              <a16:creationId xmlns:a16="http://schemas.microsoft.com/office/drawing/2014/main" id="{00000000-0008-0000-0800-00006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4" name="Text Box 198">
          <a:extLst>
            <a:ext uri="{FF2B5EF4-FFF2-40B4-BE49-F238E27FC236}">
              <a16:creationId xmlns:a16="http://schemas.microsoft.com/office/drawing/2014/main" id="{00000000-0008-0000-0800-00006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5" name="Text Box 199">
          <a:extLst>
            <a:ext uri="{FF2B5EF4-FFF2-40B4-BE49-F238E27FC236}">
              <a16:creationId xmlns:a16="http://schemas.microsoft.com/office/drawing/2014/main" id="{00000000-0008-0000-0800-00006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6" name="Text Box 200">
          <a:extLst>
            <a:ext uri="{FF2B5EF4-FFF2-40B4-BE49-F238E27FC236}">
              <a16:creationId xmlns:a16="http://schemas.microsoft.com/office/drawing/2014/main" id="{00000000-0008-0000-0800-00006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7" name="Text Box 201">
          <a:extLst>
            <a:ext uri="{FF2B5EF4-FFF2-40B4-BE49-F238E27FC236}">
              <a16:creationId xmlns:a16="http://schemas.microsoft.com/office/drawing/2014/main" id="{00000000-0008-0000-0800-00006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8" name="Text Box 202">
          <a:extLst>
            <a:ext uri="{FF2B5EF4-FFF2-40B4-BE49-F238E27FC236}">
              <a16:creationId xmlns:a16="http://schemas.microsoft.com/office/drawing/2014/main" id="{00000000-0008-0000-0800-00006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09" name="Text Box 203">
          <a:extLst>
            <a:ext uri="{FF2B5EF4-FFF2-40B4-BE49-F238E27FC236}">
              <a16:creationId xmlns:a16="http://schemas.microsoft.com/office/drawing/2014/main" id="{00000000-0008-0000-0800-00006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0" name="Text Box 204">
          <a:extLst>
            <a:ext uri="{FF2B5EF4-FFF2-40B4-BE49-F238E27FC236}">
              <a16:creationId xmlns:a16="http://schemas.microsoft.com/office/drawing/2014/main" id="{00000000-0008-0000-0800-00006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1" name="Text Box 205">
          <a:extLst>
            <a:ext uri="{FF2B5EF4-FFF2-40B4-BE49-F238E27FC236}">
              <a16:creationId xmlns:a16="http://schemas.microsoft.com/office/drawing/2014/main" id="{00000000-0008-0000-0800-00006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2" name="Text Box 206">
          <a:extLst>
            <a:ext uri="{FF2B5EF4-FFF2-40B4-BE49-F238E27FC236}">
              <a16:creationId xmlns:a16="http://schemas.microsoft.com/office/drawing/2014/main" id="{00000000-0008-0000-0800-00006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3" name="Text Box 207">
          <a:extLst>
            <a:ext uri="{FF2B5EF4-FFF2-40B4-BE49-F238E27FC236}">
              <a16:creationId xmlns:a16="http://schemas.microsoft.com/office/drawing/2014/main" id="{00000000-0008-0000-0800-00006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4" name="Text Box 208">
          <a:extLst>
            <a:ext uri="{FF2B5EF4-FFF2-40B4-BE49-F238E27FC236}">
              <a16:creationId xmlns:a16="http://schemas.microsoft.com/office/drawing/2014/main" id="{00000000-0008-0000-0800-00006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5" name="Text Box 209">
          <a:extLst>
            <a:ext uri="{FF2B5EF4-FFF2-40B4-BE49-F238E27FC236}">
              <a16:creationId xmlns:a16="http://schemas.microsoft.com/office/drawing/2014/main" id="{00000000-0008-0000-0800-00006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6" name="Text Box 210">
          <a:extLst>
            <a:ext uri="{FF2B5EF4-FFF2-40B4-BE49-F238E27FC236}">
              <a16:creationId xmlns:a16="http://schemas.microsoft.com/office/drawing/2014/main" id="{00000000-0008-0000-0800-00007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7" name="Text Box 211">
          <a:extLst>
            <a:ext uri="{FF2B5EF4-FFF2-40B4-BE49-F238E27FC236}">
              <a16:creationId xmlns:a16="http://schemas.microsoft.com/office/drawing/2014/main" id="{00000000-0008-0000-0800-00007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8" name="Text Box 212">
          <a:extLst>
            <a:ext uri="{FF2B5EF4-FFF2-40B4-BE49-F238E27FC236}">
              <a16:creationId xmlns:a16="http://schemas.microsoft.com/office/drawing/2014/main" id="{00000000-0008-0000-0800-00007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9" name="Text Box 213">
          <a:extLst>
            <a:ext uri="{FF2B5EF4-FFF2-40B4-BE49-F238E27FC236}">
              <a16:creationId xmlns:a16="http://schemas.microsoft.com/office/drawing/2014/main" id="{00000000-0008-0000-0800-00007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0" name="Text Box 214">
          <a:extLst>
            <a:ext uri="{FF2B5EF4-FFF2-40B4-BE49-F238E27FC236}">
              <a16:creationId xmlns:a16="http://schemas.microsoft.com/office/drawing/2014/main" id="{00000000-0008-0000-0800-00007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1" name="Text Box 215">
          <a:extLst>
            <a:ext uri="{FF2B5EF4-FFF2-40B4-BE49-F238E27FC236}">
              <a16:creationId xmlns:a16="http://schemas.microsoft.com/office/drawing/2014/main" id="{00000000-0008-0000-0800-00007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2" name="Text Box 216">
          <a:extLst>
            <a:ext uri="{FF2B5EF4-FFF2-40B4-BE49-F238E27FC236}">
              <a16:creationId xmlns:a16="http://schemas.microsoft.com/office/drawing/2014/main" id="{00000000-0008-0000-0800-00007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3" name="Text Box 217">
          <a:extLst>
            <a:ext uri="{FF2B5EF4-FFF2-40B4-BE49-F238E27FC236}">
              <a16:creationId xmlns:a16="http://schemas.microsoft.com/office/drawing/2014/main" id="{00000000-0008-0000-0800-00007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4" name="Text Box 218">
          <a:extLst>
            <a:ext uri="{FF2B5EF4-FFF2-40B4-BE49-F238E27FC236}">
              <a16:creationId xmlns:a16="http://schemas.microsoft.com/office/drawing/2014/main" id="{00000000-0008-0000-0800-00007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5" name="Text Box 219">
          <a:extLst>
            <a:ext uri="{FF2B5EF4-FFF2-40B4-BE49-F238E27FC236}">
              <a16:creationId xmlns:a16="http://schemas.microsoft.com/office/drawing/2014/main" id="{00000000-0008-0000-0800-00007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6" name="Text Box 220">
          <a:extLst>
            <a:ext uri="{FF2B5EF4-FFF2-40B4-BE49-F238E27FC236}">
              <a16:creationId xmlns:a16="http://schemas.microsoft.com/office/drawing/2014/main" id="{00000000-0008-0000-0800-00007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7" name="Text Box 221">
          <a:extLst>
            <a:ext uri="{FF2B5EF4-FFF2-40B4-BE49-F238E27FC236}">
              <a16:creationId xmlns:a16="http://schemas.microsoft.com/office/drawing/2014/main" id="{00000000-0008-0000-0800-00007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8" name="Text Box 222">
          <a:extLst>
            <a:ext uri="{FF2B5EF4-FFF2-40B4-BE49-F238E27FC236}">
              <a16:creationId xmlns:a16="http://schemas.microsoft.com/office/drawing/2014/main" id="{00000000-0008-0000-0800-00007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9" name="Text Box 223">
          <a:extLst>
            <a:ext uri="{FF2B5EF4-FFF2-40B4-BE49-F238E27FC236}">
              <a16:creationId xmlns:a16="http://schemas.microsoft.com/office/drawing/2014/main" id="{00000000-0008-0000-0800-00007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0" name="Text Box 224">
          <a:extLst>
            <a:ext uri="{FF2B5EF4-FFF2-40B4-BE49-F238E27FC236}">
              <a16:creationId xmlns:a16="http://schemas.microsoft.com/office/drawing/2014/main" id="{00000000-0008-0000-0800-00007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1" name="Text Box 225">
          <a:extLst>
            <a:ext uri="{FF2B5EF4-FFF2-40B4-BE49-F238E27FC236}">
              <a16:creationId xmlns:a16="http://schemas.microsoft.com/office/drawing/2014/main" id="{00000000-0008-0000-0800-00007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2" name="Text Box 226">
          <a:extLst>
            <a:ext uri="{FF2B5EF4-FFF2-40B4-BE49-F238E27FC236}">
              <a16:creationId xmlns:a16="http://schemas.microsoft.com/office/drawing/2014/main" id="{00000000-0008-0000-0800-00008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3" name="Text Box 227">
          <a:extLst>
            <a:ext uri="{FF2B5EF4-FFF2-40B4-BE49-F238E27FC236}">
              <a16:creationId xmlns:a16="http://schemas.microsoft.com/office/drawing/2014/main" id="{00000000-0008-0000-0800-00008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4" name="Text Box 228">
          <a:extLst>
            <a:ext uri="{FF2B5EF4-FFF2-40B4-BE49-F238E27FC236}">
              <a16:creationId xmlns:a16="http://schemas.microsoft.com/office/drawing/2014/main" id="{00000000-0008-0000-0800-00008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5" name="Text Box 229">
          <a:extLst>
            <a:ext uri="{FF2B5EF4-FFF2-40B4-BE49-F238E27FC236}">
              <a16:creationId xmlns:a16="http://schemas.microsoft.com/office/drawing/2014/main" id="{00000000-0008-0000-0800-00008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6" name="Text Box 230">
          <a:extLst>
            <a:ext uri="{FF2B5EF4-FFF2-40B4-BE49-F238E27FC236}">
              <a16:creationId xmlns:a16="http://schemas.microsoft.com/office/drawing/2014/main" id="{00000000-0008-0000-0800-00008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7" name="Text Box 231">
          <a:extLst>
            <a:ext uri="{FF2B5EF4-FFF2-40B4-BE49-F238E27FC236}">
              <a16:creationId xmlns:a16="http://schemas.microsoft.com/office/drawing/2014/main" id="{00000000-0008-0000-0800-00008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8" name="Text Box 232">
          <a:extLst>
            <a:ext uri="{FF2B5EF4-FFF2-40B4-BE49-F238E27FC236}">
              <a16:creationId xmlns:a16="http://schemas.microsoft.com/office/drawing/2014/main" id="{00000000-0008-0000-0800-00008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9" name="Text Box 233">
          <a:extLst>
            <a:ext uri="{FF2B5EF4-FFF2-40B4-BE49-F238E27FC236}">
              <a16:creationId xmlns:a16="http://schemas.microsoft.com/office/drawing/2014/main" id="{00000000-0008-0000-0800-00008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0" name="Text Box 234">
          <a:extLst>
            <a:ext uri="{FF2B5EF4-FFF2-40B4-BE49-F238E27FC236}">
              <a16:creationId xmlns:a16="http://schemas.microsoft.com/office/drawing/2014/main" id="{00000000-0008-0000-0800-00008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1" name="Text Box 235">
          <a:extLst>
            <a:ext uri="{FF2B5EF4-FFF2-40B4-BE49-F238E27FC236}">
              <a16:creationId xmlns:a16="http://schemas.microsoft.com/office/drawing/2014/main" id="{00000000-0008-0000-0800-00008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2" name="Text Box 236">
          <a:extLst>
            <a:ext uri="{FF2B5EF4-FFF2-40B4-BE49-F238E27FC236}">
              <a16:creationId xmlns:a16="http://schemas.microsoft.com/office/drawing/2014/main" id="{00000000-0008-0000-0800-00008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3" name="Text Box 237">
          <a:extLst>
            <a:ext uri="{FF2B5EF4-FFF2-40B4-BE49-F238E27FC236}">
              <a16:creationId xmlns:a16="http://schemas.microsoft.com/office/drawing/2014/main" id="{00000000-0008-0000-0800-00008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4" name="Text Box 238">
          <a:extLst>
            <a:ext uri="{FF2B5EF4-FFF2-40B4-BE49-F238E27FC236}">
              <a16:creationId xmlns:a16="http://schemas.microsoft.com/office/drawing/2014/main" id="{00000000-0008-0000-0800-00008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5" name="Text Box 239">
          <a:extLst>
            <a:ext uri="{FF2B5EF4-FFF2-40B4-BE49-F238E27FC236}">
              <a16:creationId xmlns:a16="http://schemas.microsoft.com/office/drawing/2014/main" id="{00000000-0008-0000-0800-00008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6" name="Text Box 240">
          <a:extLst>
            <a:ext uri="{FF2B5EF4-FFF2-40B4-BE49-F238E27FC236}">
              <a16:creationId xmlns:a16="http://schemas.microsoft.com/office/drawing/2014/main" id="{00000000-0008-0000-0800-00008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7" name="Text Box 241">
          <a:extLst>
            <a:ext uri="{FF2B5EF4-FFF2-40B4-BE49-F238E27FC236}">
              <a16:creationId xmlns:a16="http://schemas.microsoft.com/office/drawing/2014/main" id="{00000000-0008-0000-0800-00008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8" name="Text Box 242">
          <a:extLst>
            <a:ext uri="{FF2B5EF4-FFF2-40B4-BE49-F238E27FC236}">
              <a16:creationId xmlns:a16="http://schemas.microsoft.com/office/drawing/2014/main" id="{00000000-0008-0000-0800-00009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9" name="Text Box 243">
          <a:extLst>
            <a:ext uri="{FF2B5EF4-FFF2-40B4-BE49-F238E27FC236}">
              <a16:creationId xmlns:a16="http://schemas.microsoft.com/office/drawing/2014/main" id="{00000000-0008-0000-0800-00009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0" name="Text Box 244">
          <a:extLst>
            <a:ext uri="{FF2B5EF4-FFF2-40B4-BE49-F238E27FC236}">
              <a16:creationId xmlns:a16="http://schemas.microsoft.com/office/drawing/2014/main" id="{00000000-0008-0000-0800-00009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1" name="Text Box 245">
          <a:extLst>
            <a:ext uri="{FF2B5EF4-FFF2-40B4-BE49-F238E27FC236}">
              <a16:creationId xmlns:a16="http://schemas.microsoft.com/office/drawing/2014/main" id="{00000000-0008-0000-0800-00009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2" name="Text Box 246">
          <a:extLst>
            <a:ext uri="{FF2B5EF4-FFF2-40B4-BE49-F238E27FC236}">
              <a16:creationId xmlns:a16="http://schemas.microsoft.com/office/drawing/2014/main" id="{00000000-0008-0000-0800-00009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3" name="Text Box 247">
          <a:extLst>
            <a:ext uri="{FF2B5EF4-FFF2-40B4-BE49-F238E27FC236}">
              <a16:creationId xmlns:a16="http://schemas.microsoft.com/office/drawing/2014/main" id="{00000000-0008-0000-0800-00009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4" name="Text Box 248">
          <a:extLst>
            <a:ext uri="{FF2B5EF4-FFF2-40B4-BE49-F238E27FC236}">
              <a16:creationId xmlns:a16="http://schemas.microsoft.com/office/drawing/2014/main" id="{00000000-0008-0000-0800-00009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5" name="Text Box 249">
          <a:extLst>
            <a:ext uri="{FF2B5EF4-FFF2-40B4-BE49-F238E27FC236}">
              <a16:creationId xmlns:a16="http://schemas.microsoft.com/office/drawing/2014/main" id="{00000000-0008-0000-0800-00009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6" name="Text Box 250">
          <a:extLst>
            <a:ext uri="{FF2B5EF4-FFF2-40B4-BE49-F238E27FC236}">
              <a16:creationId xmlns:a16="http://schemas.microsoft.com/office/drawing/2014/main" id="{00000000-0008-0000-0800-00009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7" name="Text Box 251">
          <a:extLst>
            <a:ext uri="{FF2B5EF4-FFF2-40B4-BE49-F238E27FC236}">
              <a16:creationId xmlns:a16="http://schemas.microsoft.com/office/drawing/2014/main" id="{00000000-0008-0000-0800-00009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8" name="Text Box 252">
          <a:extLst>
            <a:ext uri="{FF2B5EF4-FFF2-40B4-BE49-F238E27FC236}">
              <a16:creationId xmlns:a16="http://schemas.microsoft.com/office/drawing/2014/main" id="{00000000-0008-0000-0800-00009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9" name="Text Box 253">
          <a:extLst>
            <a:ext uri="{FF2B5EF4-FFF2-40B4-BE49-F238E27FC236}">
              <a16:creationId xmlns:a16="http://schemas.microsoft.com/office/drawing/2014/main" id="{00000000-0008-0000-0800-00009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0" name="Text Box 254">
          <a:extLst>
            <a:ext uri="{FF2B5EF4-FFF2-40B4-BE49-F238E27FC236}">
              <a16:creationId xmlns:a16="http://schemas.microsoft.com/office/drawing/2014/main" id="{00000000-0008-0000-0800-00009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1" name="Text Box 255">
          <a:extLst>
            <a:ext uri="{FF2B5EF4-FFF2-40B4-BE49-F238E27FC236}">
              <a16:creationId xmlns:a16="http://schemas.microsoft.com/office/drawing/2014/main" id="{00000000-0008-0000-0800-00009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2" name="Text Box 256">
          <a:extLst>
            <a:ext uri="{FF2B5EF4-FFF2-40B4-BE49-F238E27FC236}">
              <a16:creationId xmlns:a16="http://schemas.microsoft.com/office/drawing/2014/main" id="{00000000-0008-0000-0800-00009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3" name="Text Box 257">
          <a:extLst>
            <a:ext uri="{FF2B5EF4-FFF2-40B4-BE49-F238E27FC236}">
              <a16:creationId xmlns:a16="http://schemas.microsoft.com/office/drawing/2014/main" id="{00000000-0008-0000-0800-00009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4" name="Text Box 258">
          <a:extLst>
            <a:ext uri="{FF2B5EF4-FFF2-40B4-BE49-F238E27FC236}">
              <a16:creationId xmlns:a16="http://schemas.microsoft.com/office/drawing/2014/main" id="{00000000-0008-0000-0800-0000A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5" name="Text Box 259">
          <a:extLst>
            <a:ext uri="{FF2B5EF4-FFF2-40B4-BE49-F238E27FC236}">
              <a16:creationId xmlns:a16="http://schemas.microsoft.com/office/drawing/2014/main" id="{00000000-0008-0000-0800-0000A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6" name="Text Box 260">
          <a:extLst>
            <a:ext uri="{FF2B5EF4-FFF2-40B4-BE49-F238E27FC236}">
              <a16:creationId xmlns:a16="http://schemas.microsoft.com/office/drawing/2014/main" id="{00000000-0008-0000-0800-0000A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7" name="Text Box 261">
          <a:extLst>
            <a:ext uri="{FF2B5EF4-FFF2-40B4-BE49-F238E27FC236}">
              <a16:creationId xmlns:a16="http://schemas.microsoft.com/office/drawing/2014/main" id="{00000000-0008-0000-0800-0000A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8" name="Text Box 262">
          <a:extLst>
            <a:ext uri="{FF2B5EF4-FFF2-40B4-BE49-F238E27FC236}">
              <a16:creationId xmlns:a16="http://schemas.microsoft.com/office/drawing/2014/main" id="{00000000-0008-0000-0800-0000A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9" name="Text Box 263">
          <a:extLst>
            <a:ext uri="{FF2B5EF4-FFF2-40B4-BE49-F238E27FC236}">
              <a16:creationId xmlns:a16="http://schemas.microsoft.com/office/drawing/2014/main" id="{00000000-0008-0000-0800-0000A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0" name="Text Box 264">
          <a:extLst>
            <a:ext uri="{FF2B5EF4-FFF2-40B4-BE49-F238E27FC236}">
              <a16:creationId xmlns:a16="http://schemas.microsoft.com/office/drawing/2014/main" id="{00000000-0008-0000-0800-0000A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1" name="Text Box 265">
          <a:extLst>
            <a:ext uri="{FF2B5EF4-FFF2-40B4-BE49-F238E27FC236}">
              <a16:creationId xmlns:a16="http://schemas.microsoft.com/office/drawing/2014/main" id="{00000000-0008-0000-0800-0000A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2" name="Text Box 266">
          <a:extLst>
            <a:ext uri="{FF2B5EF4-FFF2-40B4-BE49-F238E27FC236}">
              <a16:creationId xmlns:a16="http://schemas.microsoft.com/office/drawing/2014/main" id="{00000000-0008-0000-0800-0000A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3" name="Text Box 267">
          <a:extLst>
            <a:ext uri="{FF2B5EF4-FFF2-40B4-BE49-F238E27FC236}">
              <a16:creationId xmlns:a16="http://schemas.microsoft.com/office/drawing/2014/main" id="{00000000-0008-0000-0800-0000A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4" name="Text Box 268">
          <a:extLst>
            <a:ext uri="{FF2B5EF4-FFF2-40B4-BE49-F238E27FC236}">
              <a16:creationId xmlns:a16="http://schemas.microsoft.com/office/drawing/2014/main" id="{00000000-0008-0000-0800-0000A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5" name="Text Box 269">
          <a:extLst>
            <a:ext uri="{FF2B5EF4-FFF2-40B4-BE49-F238E27FC236}">
              <a16:creationId xmlns:a16="http://schemas.microsoft.com/office/drawing/2014/main" id="{00000000-0008-0000-0800-0000A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6" name="Text Box 270">
          <a:extLst>
            <a:ext uri="{FF2B5EF4-FFF2-40B4-BE49-F238E27FC236}">
              <a16:creationId xmlns:a16="http://schemas.microsoft.com/office/drawing/2014/main" id="{00000000-0008-0000-0800-0000A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7" name="Text Box 271">
          <a:extLst>
            <a:ext uri="{FF2B5EF4-FFF2-40B4-BE49-F238E27FC236}">
              <a16:creationId xmlns:a16="http://schemas.microsoft.com/office/drawing/2014/main" id="{00000000-0008-0000-0800-0000A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8" name="Text Box 272">
          <a:extLst>
            <a:ext uri="{FF2B5EF4-FFF2-40B4-BE49-F238E27FC236}">
              <a16:creationId xmlns:a16="http://schemas.microsoft.com/office/drawing/2014/main" id="{00000000-0008-0000-0800-0000A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9" name="Text Box 273">
          <a:extLst>
            <a:ext uri="{FF2B5EF4-FFF2-40B4-BE49-F238E27FC236}">
              <a16:creationId xmlns:a16="http://schemas.microsoft.com/office/drawing/2014/main" id="{00000000-0008-0000-0800-0000A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0" name="Text Box 274">
          <a:extLst>
            <a:ext uri="{FF2B5EF4-FFF2-40B4-BE49-F238E27FC236}">
              <a16:creationId xmlns:a16="http://schemas.microsoft.com/office/drawing/2014/main" id="{00000000-0008-0000-0800-0000B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1" name="Text Box 275">
          <a:extLst>
            <a:ext uri="{FF2B5EF4-FFF2-40B4-BE49-F238E27FC236}">
              <a16:creationId xmlns:a16="http://schemas.microsoft.com/office/drawing/2014/main" id="{00000000-0008-0000-0800-0000B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2" name="Text Box 276">
          <a:extLst>
            <a:ext uri="{FF2B5EF4-FFF2-40B4-BE49-F238E27FC236}">
              <a16:creationId xmlns:a16="http://schemas.microsoft.com/office/drawing/2014/main" id="{00000000-0008-0000-0800-0000B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3" name="Text Box 277">
          <a:extLst>
            <a:ext uri="{FF2B5EF4-FFF2-40B4-BE49-F238E27FC236}">
              <a16:creationId xmlns:a16="http://schemas.microsoft.com/office/drawing/2014/main" id="{00000000-0008-0000-0800-0000B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4" name="Text Box 278">
          <a:extLst>
            <a:ext uri="{FF2B5EF4-FFF2-40B4-BE49-F238E27FC236}">
              <a16:creationId xmlns:a16="http://schemas.microsoft.com/office/drawing/2014/main" id="{00000000-0008-0000-0800-0000B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5" name="Text Box 279">
          <a:extLst>
            <a:ext uri="{FF2B5EF4-FFF2-40B4-BE49-F238E27FC236}">
              <a16:creationId xmlns:a16="http://schemas.microsoft.com/office/drawing/2014/main" id="{00000000-0008-0000-0800-0000B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6" name="Text Box 280">
          <a:extLst>
            <a:ext uri="{FF2B5EF4-FFF2-40B4-BE49-F238E27FC236}">
              <a16:creationId xmlns:a16="http://schemas.microsoft.com/office/drawing/2014/main" id="{00000000-0008-0000-0800-0000B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7" name="Text Box 281">
          <a:extLst>
            <a:ext uri="{FF2B5EF4-FFF2-40B4-BE49-F238E27FC236}">
              <a16:creationId xmlns:a16="http://schemas.microsoft.com/office/drawing/2014/main" id="{00000000-0008-0000-0800-0000B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8" name="Text Box 282">
          <a:extLst>
            <a:ext uri="{FF2B5EF4-FFF2-40B4-BE49-F238E27FC236}">
              <a16:creationId xmlns:a16="http://schemas.microsoft.com/office/drawing/2014/main" id="{00000000-0008-0000-0800-0000B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9" name="Text Box 283">
          <a:extLst>
            <a:ext uri="{FF2B5EF4-FFF2-40B4-BE49-F238E27FC236}">
              <a16:creationId xmlns:a16="http://schemas.microsoft.com/office/drawing/2014/main" id="{00000000-0008-0000-0800-0000B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0" name="Text Box 284">
          <a:extLst>
            <a:ext uri="{FF2B5EF4-FFF2-40B4-BE49-F238E27FC236}">
              <a16:creationId xmlns:a16="http://schemas.microsoft.com/office/drawing/2014/main" id="{00000000-0008-0000-0800-0000B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1" name="Text Box 285">
          <a:extLst>
            <a:ext uri="{FF2B5EF4-FFF2-40B4-BE49-F238E27FC236}">
              <a16:creationId xmlns:a16="http://schemas.microsoft.com/office/drawing/2014/main" id="{00000000-0008-0000-0800-0000B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2" name="Text Box 286">
          <a:extLst>
            <a:ext uri="{FF2B5EF4-FFF2-40B4-BE49-F238E27FC236}">
              <a16:creationId xmlns:a16="http://schemas.microsoft.com/office/drawing/2014/main" id="{00000000-0008-0000-0800-0000B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3" name="Text Box 287">
          <a:extLst>
            <a:ext uri="{FF2B5EF4-FFF2-40B4-BE49-F238E27FC236}">
              <a16:creationId xmlns:a16="http://schemas.microsoft.com/office/drawing/2014/main" id="{00000000-0008-0000-0800-0000B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4" name="Text Box 288">
          <a:extLst>
            <a:ext uri="{FF2B5EF4-FFF2-40B4-BE49-F238E27FC236}">
              <a16:creationId xmlns:a16="http://schemas.microsoft.com/office/drawing/2014/main" id="{00000000-0008-0000-0800-0000B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5" name="Text Box 289">
          <a:extLst>
            <a:ext uri="{FF2B5EF4-FFF2-40B4-BE49-F238E27FC236}">
              <a16:creationId xmlns:a16="http://schemas.microsoft.com/office/drawing/2014/main" id="{00000000-0008-0000-0800-0000B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6" name="Text Box 290">
          <a:extLst>
            <a:ext uri="{FF2B5EF4-FFF2-40B4-BE49-F238E27FC236}">
              <a16:creationId xmlns:a16="http://schemas.microsoft.com/office/drawing/2014/main" id="{00000000-0008-0000-0800-0000C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7" name="Text Box 291">
          <a:extLst>
            <a:ext uri="{FF2B5EF4-FFF2-40B4-BE49-F238E27FC236}">
              <a16:creationId xmlns:a16="http://schemas.microsoft.com/office/drawing/2014/main" id="{00000000-0008-0000-0800-0000C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8" name="Text Box 292">
          <a:extLst>
            <a:ext uri="{FF2B5EF4-FFF2-40B4-BE49-F238E27FC236}">
              <a16:creationId xmlns:a16="http://schemas.microsoft.com/office/drawing/2014/main" id="{00000000-0008-0000-0800-0000C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9" name="Text Box 293">
          <a:extLst>
            <a:ext uri="{FF2B5EF4-FFF2-40B4-BE49-F238E27FC236}">
              <a16:creationId xmlns:a16="http://schemas.microsoft.com/office/drawing/2014/main" id="{00000000-0008-0000-0800-0000C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0" name="Text Box 294">
          <a:extLst>
            <a:ext uri="{FF2B5EF4-FFF2-40B4-BE49-F238E27FC236}">
              <a16:creationId xmlns:a16="http://schemas.microsoft.com/office/drawing/2014/main" id="{00000000-0008-0000-0800-0000C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1" name="Text Box 295">
          <a:extLst>
            <a:ext uri="{FF2B5EF4-FFF2-40B4-BE49-F238E27FC236}">
              <a16:creationId xmlns:a16="http://schemas.microsoft.com/office/drawing/2014/main" id="{00000000-0008-0000-0800-0000C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2" name="Text Box 296">
          <a:extLst>
            <a:ext uri="{FF2B5EF4-FFF2-40B4-BE49-F238E27FC236}">
              <a16:creationId xmlns:a16="http://schemas.microsoft.com/office/drawing/2014/main" id="{00000000-0008-0000-0800-0000C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3" name="Text Box 297">
          <a:extLst>
            <a:ext uri="{FF2B5EF4-FFF2-40B4-BE49-F238E27FC236}">
              <a16:creationId xmlns:a16="http://schemas.microsoft.com/office/drawing/2014/main" id="{00000000-0008-0000-0800-0000C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4" name="Text Box 298">
          <a:extLst>
            <a:ext uri="{FF2B5EF4-FFF2-40B4-BE49-F238E27FC236}">
              <a16:creationId xmlns:a16="http://schemas.microsoft.com/office/drawing/2014/main" id="{00000000-0008-0000-0800-0000C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5" name="Text Box 299">
          <a:extLst>
            <a:ext uri="{FF2B5EF4-FFF2-40B4-BE49-F238E27FC236}">
              <a16:creationId xmlns:a16="http://schemas.microsoft.com/office/drawing/2014/main" id="{00000000-0008-0000-0800-0000C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6" name="Text Box 300">
          <a:extLst>
            <a:ext uri="{FF2B5EF4-FFF2-40B4-BE49-F238E27FC236}">
              <a16:creationId xmlns:a16="http://schemas.microsoft.com/office/drawing/2014/main" id="{00000000-0008-0000-0800-0000C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7" name="Text Box 301">
          <a:extLst>
            <a:ext uri="{FF2B5EF4-FFF2-40B4-BE49-F238E27FC236}">
              <a16:creationId xmlns:a16="http://schemas.microsoft.com/office/drawing/2014/main" id="{00000000-0008-0000-0800-0000C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8" name="Text Box 302">
          <a:extLst>
            <a:ext uri="{FF2B5EF4-FFF2-40B4-BE49-F238E27FC236}">
              <a16:creationId xmlns:a16="http://schemas.microsoft.com/office/drawing/2014/main" id="{00000000-0008-0000-0800-0000C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9" name="Text Box 303">
          <a:extLst>
            <a:ext uri="{FF2B5EF4-FFF2-40B4-BE49-F238E27FC236}">
              <a16:creationId xmlns:a16="http://schemas.microsoft.com/office/drawing/2014/main" id="{00000000-0008-0000-0800-0000C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0" name="Text Box 304">
          <a:extLst>
            <a:ext uri="{FF2B5EF4-FFF2-40B4-BE49-F238E27FC236}">
              <a16:creationId xmlns:a16="http://schemas.microsoft.com/office/drawing/2014/main" id="{00000000-0008-0000-0800-0000C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1" name="Text Box 305">
          <a:extLst>
            <a:ext uri="{FF2B5EF4-FFF2-40B4-BE49-F238E27FC236}">
              <a16:creationId xmlns:a16="http://schemas.microsoft.com/office/drawing/2014/main" id="{00000000-0008-0000-0800-0000C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2" name="Text Box 306">
          <a:extLst>
            <a:ext uri="{FF2B5EF4-FFF2-40B4-BE49-F238E27FC236}">
              <a16:creationId xmlns:a16="http://schemas.microsoft.com/office/drawing/2014/main" id="{00000000-0008-0000-0800-0000D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3" name="Text Box 307">
          <a:extLst>
            <a:ext uri="{FF2B5EF4-FFF2-40B4-BE49-F238E27FC236}">
              <a16:creationId xmlns:a16="http://schemas.microsoft.com/office/drawing/2014/main" id="{00000000-0008-0000-0800-0000D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4" name="Text Box 308">
          <a:extLst>
            <a:ext uri="{FF2B5EF4-FFF2-40B4-BE49-F238E27FC236}">
              <a16:creationId xmlns:a16="http://schemas.microsoft.com/office/drawing/2014/main" id="{00000000-0008-0000-0800-0000D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5" name="Text Box 309">
          <a:extLst>
            <a:ext uri="{FF2B5EF4-FFF2-40B4-BE49-F238E27FC236}">
              <a16:creationId xmlns:a16="http://schemas.microsoft.com/office/drawing/2014/main" id="{00000000-0008-0000-0800-0000D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6" name="Text Box 310">
          <a:extLst>
            <a:ext uri="{FF2B5EF4-FFF2-40B4-BE49-F238E27FC236}">
              <a16:creationId xmlns:a16="http://schemas.microsoft.com/office/drawing/2014/main" id="{00000000-0008-0000-0800-0000D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7" name="Text Box 311">
          <a:extLst>
            <a:ext uri="{FF2B5EF4-FFF2-40B4-BE49-F238E27FC236}">
              <a16:creationId xmlns:a16="http://schemas.microsoft.com/office/drawing/2014/main" id="{00000000-0008-0000-0800-0000D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8" name="Text Box 312">
          <a:extLst>
            <a:ext uri="{FF2B5EF4-FFF2-40B4-BE49-F238E27FC236}">
              <a16:creationId xmlns:a16="http://schemas.microsoft.com/office/drawing/2014/main" id="{00000000-0008-0000-0800-0000D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9" name="Text Box 313">
          <a:extLst>
            <a:ext uri="{FF2B5EF4-FFF2-40B4-BE49-F238E27FC236}">
              <a16:creationId xmlns:a16="http://schemas.microsoft.com/office/drawing/2014/main" id="{00000000-0008-0000-0800-0000D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0" name="Text Box 314">
          <a:extLst>
            <a:ext uri="{FF2B5EF4-FFF2-40B4-BE49-F238E27FC236}">
              <a16:creationId xmlns:a16="http://schemas.microsoft.com/office/drawing/2014/main" id="{00000000-0008-0000-0800-0000D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1" name="Text Box 315">
          <a:extLst>
            <a:ext uri="{FF2B5EF4-FFF2-40B4-BE49-F238E27FC236}">
              <a16:creationId xmlns:a16="http://schemas.microsoft.com/office/drawing/2014/main" id="{00000000-0008-0000-0800-0000D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2" name="Text Box 316">
          <a:extLst>
            <a:ext uri="{FF2B5EF4-FFF2-40B4-BE49-F238E27FC236}">
              <a16:creationId xmlns:a16="http://schemas.microsoft.com/office/drawing/2014/main" id="{00000000-0008-0000-0800-0000D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3" name="Text Box 317">
          <a:extLst>
            <a:ext uri="{FF2B5EF4-FFF2-40B4-BE49-F238E27FC236}">
              <a16:creationId xmlns:a16="http://schemas.microsoft.com/office/drawing/2014/main" id="{00000000-0008-0000-0800-0000D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4" name="Text Box 318">
          <a:extLst>
            <a:ext uri="{FF2B5EF4-FFF2-40B4-BE49-F238E27FC236}">
              <a16:creationId xmlns:a16="http://schemas.microsoft.com/office/drawing/2014/main" id="{00000000-0008-0000-0800-0000D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5" name="Text Box 319">
          <a:extLst>
            <a:ext uri="{FF2B5EF4-FFF2-40B4-BE49-F238E27FC236}">
              <a16:creationId xmlns:a16="http://schemas.microsoft.com/office/drawing/2014/main" id="{00000000-0008-0000-0800-0000D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6" name="Text Box 320">
          <a:extLst>
            <a:ext uri="{FF2B5EF4-FFF2-40B4-BE49-F238E27FC236}">
              <a16:creationId xmlns:a16="http://schemas.microsoft.com/office/drawing/2014/main" id="{00000000-0008-0000-0800-0000D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7" name="Text Box 28">
          <a:extLst>
            <a:ext uri="{FF2B5EF4-FFF2-40B4-BE49-F238E27FC236}">
              <a16:creationId xmlns:a16="http://schemas.microsoft.com/office/drawing/2014/main" id="{00000000-0008-0000-0800-0000D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8" name="Text Box 29">
          <a:extLst>
            <a:ext uri="{FF2B5EF4-FFF2-40B4-BE49-F238E27FC236}">
              <a16:creationId xmlns:a16="http://schemas.microsoft.com/office/drawing/2014/main" id="{00000000-0008-0000-0800-0000E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9" name="Text Box 30">
          <a:extLst>
            <a:ext uri="{FF2B5EF4-FFF2-40B4-BE49-F238E27FC236}">
              <a16:creationId xmlns:a16="http://schemas.microsoft.com/office/drawing/2014/main" id="{00000000-0008-0000-0800-0000E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0" name="Text Box 31">
          <a:extLst>
            <a:ext uri="{FF2B5EF4-FFF2-40B4-BE49-F238E27FC236}">
              <a16:creationId xmlns:a16="http://schemas.microsoft.com/office/drawing/2014/main" id="{00000000-0008-0000-0800-0000E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1" name="Text Box 32">
          <a:extLst>
            <a:ext uri="{FF2B5EF4-FFF2-40B4-BE49-F238E27FC236}">
              <a16:creationId xmlns:a16="http://schemas.microsoft.com/office/drawing/2014/main" id="{00000000-0008-0000-0800-0000E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2" name="Text Box 33">
          <a:extLst>
            <a:ext uri="{FF2B5EF4-FFF2-40B4-BE49-F238E27FC236}">
              <a16:creationId xmlns:a16="http://schemas.microsoft.com/office/drawing/2014/main" id="{00000000-0008-0000-0800-0000E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3" name="Text Box 34">
          <a:extLst>
            <a:ext uri="{FF2B5EF4-FFF2-40B4-BE49-F238E27FC236}">
              <a16:creationId xmlns:a16="http://schemas.microsoft.com/office/drawing/2014/main" id="{00000000-0008-0000-0800-0000E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4" name="Text Box 35">
          <a:extLst>
            <a:ext uri="{FF2B5EF4-FFF2-40B4-BE49-F238E27FC236}">
              <a16:creationId xmlns:a16="http://schemas.microsoft.com/office/drawing/2014/main" id="{00000000-0008-0000-0800-0000E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5" name="Text Box 36">
          <a:extLst>
            <a:ext uri="{FF2B5EF4-FFF2-40B4-BE49-F238E27FC236}">
              <a16:creationId xmlns:a16="http://schemas.microsoft.com/office/drawing/2014/main" id="{00000000-0008-0000-0800-0000E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6" name="Text Box 37">
          <a:extLst>
            <a:ext uri="{FF2B5EF4-FFF2-40B4-BE49-F238E27FC236}">
              <a16:creationId xmlns:a16="http://schemas.microsoft.com/office/drawing/2014/main" id="{00000000-0008-0000-0800-0000E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7" name="Text Box 38">
          <a:extLst>
            <a:ext uri="{FF2B5EF4-FFF2-40B4-BE49-F238E27FC236}">
              <a16:creationId xmlns:a16="http://schemas.microsoft.com/office/drawing/2014/main" id="{00000000-0008-0000-0800-0000E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8" name="Text Box 39">
          <a:extLst>
            <a:ext uri="{FF2B5EF4-FFF2-40B4-BE49-F238E27FC236}">
              <a16:creationId xmlns:a16="http://schemas.microsoft.com/office/drawing/2014/main" id="{00000000-0008-0000-0800-0000E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9" name="Text Box 40">
          <a:extLst>
            <a:ext uri="{FF2B5EF4-FFF2-40B4-BE49-F238E27FC236}">
              <a16:creationId xmlns:a16="http://schemas.microsoft.com/office/drawing/2014/main" id="{00000000-0008-0000-0800-0000E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0" name="Text Box 41">
          <a:extLst>
            <a:ext uri="{FF2B5EF4-FFF2-40B4-BE49-F238E27FC236}">
              <a16:creationId xmlns:a16="http://schemas.microsoft.com/office/drawing/2014/main" id="{00000000-0008-0000-0800-0000E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1" name="Text Box 42">
          <a:extLst>
            <a:ext uri="{FF2B5EF4-FFF2-40B4-BE49-F238E27FC236}">
              <a16:creationId xmlns:a16="http://schemas.microsoft.com/office/drawing/2014/main" id="{00000000-0008-0000-0800-0000E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2" name="Text Box 43">
          <a:extLst>
            <a:ext uri="{FF2B5EF4-FFF2-40B4-BE49-F238E27FC236}">
              <a16:creationId xmlns:a16="http://schemas.microsoft.com/office/drawing/2014/main" id="{00000000-0008-0000-0800-0000E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3" name="Text Box 44">
          <a:extLst>
            <a:ext uri="{FF2B5EF4-FFF2-40B4-BE49-F238E27FC236}">
              <a16:creationId xmlns:a16="http://schemas.microsoft.com/office/drawing/2014/main" id="{00000000-0008-0000-0800-0000E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4" name="Text Box 45">
          <a:extLst>
            <a:ext uri="{FF2B5EF4-FFF2-40B4-BE49-F238E27FC236}">
              <a16:creationId xmlns:a16="http://schemas.microsoft.com/office/drawing/2014/main" id="{00000000-0008-0000-0800-0000F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5" name="Text Box 46">
          <a:extLst>
            <a:ext uri="{FF2B5EF4-FFF2-40B4-BE49-F238E27FC236}">
              <a16:creationId xmlns:a16="http://schemas.microsoft.com/office/drawing/2014/main" id="{00000000-0008-0000-0800-0000F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6" name="Text Box 47">
          <a:extLst>
            <a:ext uri="{FF2B5EF4-FFF2-40B4-BE49-F238E27FC236}">
              <a16:creationId xmlns:a16="http://schemas.microsoft.com/office/drawing/2014/main" id="{00000000-0008-0000-0800-0000F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7" name="Text Box 48">
          <a:extLst>
            <a:ext uri="{FF2B5EF4-FFF2-40B4-BE49-F238E27FC236}">
              <a16:creationId xmlns:a16="http://schemas.microsoft.com/office/drawing/2014/main" id="{00000000-0008-0000-0800-0000F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8" name="Text Box 49">
          <a:extLst>
            <a:ext uri="{FF2B5EF4-FFF2-40B4-BE49-F238E27FC236}">
              <a16:creationId xmlns:a16="http://schemas.microsoft.com/office/drawing/2014/main" id="{00000000-0008-0000-0800-0000F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9" name="Text Box 50">
          <a:extLst>
            <a:ext uri="{FF2B5EF4-FFF2-40B4-BE49-F238E27FC236}">
              <a16:creationId xmlns:a16="http://schemas.microsoft.com/office/drawing/2014/main" id="{00000000-0008-0000-0800-0000F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0" name="Text Box 51">
          <a:extLst>
            <a:ext uri="{FF2B5EF4-FFF2-40B4-BE49-F238E27FC236}">
              <a16:creationId xmlns:a16="http://schemas.microsoft.com/office/drawing/2014/main" id="{00000000-0008-0000-0800-0000F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1" name="Text Box 52">
          <a:extLst>
            <a:ext uri="{FF2B5EF4-FFF2-40B4-BE49-F238E27FC236}">
              <a16:creationId xmlns:a16="http://schemas.microsoft.com/office/drawing/2014/main" id="{00000000-0008-0000-0800-0000F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2" name="Text Box 53">
          <a:extLst>
            <a:ext uri="{FF2B5EF4-FFF2-40B4-BE49-F238E27FC236}">
              <a16:creationId xmlns:a16="http://schemas.microsoft.com/office/drawing/2014/main" id="{00000000-0008-0000-0800-0000F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3" name="Text Box 54">
          <a:extLst>
            <a:ext uri="{FF2B5EF4-FFF2-40B4-BE49-F238E27FC236}">
              <a16:creationId xmlns:a16="http://schemas.microsoft.com/office/drawing/2014/main" id="{00000000-0008-0000-0800-0000F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4" name="Text Box 55">
          <a:extLst>
            <a:ext uri="{FF2B5EF4-FFF2-40B4-BE49-F238E27FC236}">
              <a16:creationId xmlns:a16="http://schemas.microsoft.com/office/drawing/2014/main" id="{00000000-0008-0000-0800-0000F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5" name="Text Box 56">
          <a:extLst>
            <a:ext uri="{FF2B5EF4-FFF2-40B4-BE49-F238E27FC236}">
              <a16:creationId xmlns:a16="http://schemas.microsoft.com/office/drawing/2014/main" id="{00000000-0008-0000-0800-0000F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6" name="Text Box 57">
          <a:extLst>
            <a:ext uri="{FF2B5EF4-FFF2-40B4-BE49-F238E27FC236}">
              <a16:creationId xmlns:a16="http://schemas.microsoft.com/office/drawing/2014/main" id="{00000000-0008-0000-0800-0000F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7" name="Text Box 58">
          <a:extLst>
            <a:ext uri="{FF2B5EF4-FFF2-40B4-BE49-F238E27FC236}">
              <a16:creationId xmlns:a16="http://schemas.microsoft.com/office/drawing/2014/main" id="{00000000-0008-0000-0800-0000F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8" name="Text Box 59">
          <a:extLst>
            <a:ext uri="{FF2B5EF4-FFF2-40B4-BE49-F238E27FC236}">
              <a16:creationId xmlns:a16="http://schemas.microsoft.com/office/drawing/2014/main" id="{00000000-0008-0000-0800-0000F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9" name="Text Box 60">
          <a:extLst>
            <a:ext uri="{FF2B5EF4-FFF2-40B4-BE49-F238E27FC236}">
              <a16:creationId xmlns:a16="http://schemas.microsoft.com/office/drawing/2014/main" id="{00000000-0008-0000-0800-0000F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0" name="Text Box 61">
          <a:extLst>
            <a:ext uri="{FF2B5EF4-FFF2-40B4-BE49-F238E27FC236}">
              <a16:creationId xmlns:a16="http://schemas.microsoft.com/office/drawing/2014/main" id="{00000000-0008-0000-0800-00000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1" name="Text Box 62">
          <a:extLst>
            <a:ext uri="{FF2B5EF4-FFF2-40B4-BE49-F238E27FC236}">
              <a16:creationId xmlns:a16="http://schemas.microsoft.com/office/drawing/2014/main" id="{00000000-0008-0000-0800-00000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2" name="Text Box 63">
          <a:extLst>
            <a:ext uri="{FF2B5EF4-FFF2-40B4-BE49-F238E27FC236}">
              <a16:creationId xmlns:a16="http://schemas.microsoft.com/office/drawing/2014/main" id="{00000000-0008-0000-0800-00000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3" name="Text Box 64">
          <a:extLst>
            <a:ext uri="{FF2B5EF4-FFF2-40B4-BE49-F238E27FC236}">
              <a16:creationId xmlns:a16="http://schemas.microsoft.com/office/drawing/2014/main" id="{00000000-0008-0000-0800-00000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4" name="Text Box 65">
          <a:extLst>
            <a:ext uri="{FF2B5EF4-FFF2-40B4-BE49-F238E27FC236}">
              <a16:creationId xmlns:a16="http://schemas.microsoft.com/office/drawing/2014/main" id="{00000000-0008-0000-0800-00000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5" name="Text Box 66">
          <a:extLst>
            <a:ext uri="{FF2B5EF4-FFF2-40B4-BE49-F238E27FC236}">
              <a16:creationId xmlns:a16="http://schemas.microsoft.com/office/drawing/2014/main" id="{00000000-0008-0000-0800-00000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6" name="Text Box 67">
          <a:extLst>
            <a:ext uri="{FF2B5EF4-FFF2-40B4-BE49-F238E27FC236}">
              <a16:creationId xmlns:a16="http://schemas.microsoft.com/office/drawing/2014/main" id="{00000000-0008-0000-0800-00000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7" name="Text Box 68">
          <a:extLst>
            <a:ext uri="{FF2B5EF4-FFF2-40B4-BE49-F238E27FC236}">
              <a16:creationId xmlns:a16="http://schemas.microsoft.com/office/drawing/2014/main" id="{00000000-0008-0000-0800-00000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8" name="Text Box 69">
          <a:extLst>
            <a:ext uri="{FF2B5EF4-FFF2-40B4-BE49-F238E27FC236}">
              <a16:creationId xmlns:a16="http://schemas.microsoft.com/office/drawing/2014/main" id="{00000000-0008-0000-0800-00000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9" name="Text Box 70">
          <a:extLst>
            <a:ext uri="{FF2B5EF4-FFF2-40B4-BE49-F238E27FC236}">
              <a16:creationId xmlns:a16="http://schemas.microsoft.com/office/drawing/2014/main" id="{00000000-0008-0000-0800-00000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0" name="Text Box 71">
          <a:extLst>
            <a:ext uri="{FF2B5EF4-FFF2-40B4-BE49-F238E27FC236}">
              <a16:creationId xmlns:a16="http://schemas.microsoft.com/office/drawing/2014/main" id="{00000000-0008-0000-0800-00000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1" name="Text Box 72">
          <a:extLst>
            <a:ext uri="{FF2B5EF4-FFF2-40B4-BE49-F238E27FC236}">
              <a16:creationId xmlns:a16="http://schemas.microsoft.com/office/drawing/2014/main" id="{00000000-0008-0000-0800-00000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2" name="Text Box 73">
          <a:extLst>
            <a:ext uri="{FF2B5EF4-FFF2-40B4-BE49-F238E27FC236}">
              <a16:creationId xmlns:a16="http://schemas.microsoft.com/office/drawing/2014/main" id="{00000000-0008-0000-0800-00000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3" name="Text Box 74">
          <a:extLst>
            <a:ext uri="{FF2B5EF4-FFF2-40B4-BE49-F238E27FC236}">
              <a16:creationId xmlns:a16="http://schemas.microsoft.com/office/drawing/2014/main" id="{00000000-0008-0000-0800-00000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4" name="Text Box 75">
          <a:extLst>
            <a:ext uri="{FF2B5EF4-FFF2-40B4-BE49-F238E27FC236}">
              <a16:creationId xmlns:a16="http://schemas.microsoft.com/office/drawing/2014/main" id="{00000000-0008-0000-0800-00000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5" name="Text Box 76">
          <a:extLst>
            <a:ext uri="{FF2B5EF4-FFF2-40B4-BE49-F238E27FC236}">
              <a16:creationId xmlns:a16="http://schemas.microsoft.com/office/drawing/2014/main" id="{00000000-0008-0000-0800-00000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6" name="Text Box 77">
          <a:extLst>
            <a:ext uri="{FF2B5EF4-FFF2-40B4-BE49-F238E27FC236}">
              <a16:creationId xmlns:a16="http://schemas.microsoft.com/office/drawing/2014/main" id="{00000000-0008-0000-0800-00001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7" name="Text Box 78">
          <a:extLst>
            <a:ext uri="{FF2B5EF4-FFF2-40B4-BE49-F238E27FC236}">
              <a16:creationId xmlns:a16="http://schemas.microsoft.com/office/drawing/2014/main" id="{00000000-0008-0000-0800-00001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8" name="Text Box 79">
          <a:extLst>
            <a:ext uri="{FF2B5EF4-FFF2-40B4-BE49-F238E27FC236}">
              <a16:creationId xmlns:a16="http://schemas.microsoft.com/office/drawing/2014/main" id="{00000000-0008-0000-0800-00001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9" name="Text Box 80">
          <a:extLst>
            <a:ext uri="{FF2B5EF4-FFF2-40B4-BE49-F238E27FC236}">
              <a16:creationId xmlns:a16="http://schemas.microsoft.com/office/drawing/2014/main" id="{00000000-0008-0000-0800-00001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0" name="Text Box 81">
          <a:extLst>
            <a:ext uri="{FF2B5EF4-FFF2-40B4-BE49-F238E27FC236}">
              <a16:creationId xmlns:a16="http://schemas.microsoft.com/office/drawing/2014/main" id="{00000000-0008-0000-0800-00001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1" name="Text Box 82">
          <a:extLst>
            <a:ext uri="{FF2B5EF4-FFF2-40B4-BE49-F238E27FC236}">
              <a16:creationId xmlns:a16="http://schemas.microsoft.com/office/drawing/2014/main" id="{00000000-0008-0000-0800-00001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2" name="Text Box 83">
          <a:extLst>
            <a:ext uri="{FF2B5EF4-FFF2-40B4-BE49-F238E27FC236}">
              <a16:creationId xmlns:a16="http://schemas.microsoft.com/office/drawing/2014/main" id="{00000000-0008-0000-0800-00001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3" name="Text Box 84">
          <a:extLst>
            <a:ext uri="{FF2B5EF4-FFF2-40B4-BE49-F238E27FC236}">
              <a16:creationId xmlns:a16="http://schemas.microsoft.com/office/drawing/2014/main" id="{00000000-0008-0000-0800-00001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4" name="Text Box 85">
          <a:extLst>
            <a:ext uri="{FF2B5EF4-FFF2-40B4-BE49-F238E27FC236}">
              <a16:creationId xmlns:a16="http://schemas.microsoft.com/office/drawing/2014/main" id="{00000000-0008-0000-0800-00001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5" name="Text Box 86">
          <a:extLst>
            <a:ext uri="{FF2B5EF4-FFF2-40B4-BE49-F238E27FC236}">
              <a16:creationId xmlns:a16="http://schemas.microsoft.com/office/drawing/2014/main" id="{00000000-0008-0000-0800-00001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6" name="Text Box 87">
          <a:extLst>
            <a:ext uri="{FF2B5EF4-FFF2-40B4-BE49-F238E27FC236}">
              <a16:creationId xmlns:a16="http://schemas.microsoft.com/office/drawing/2014/main" id="{00000000-0008-0000-0800-00001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7" name="Text Box 88">
          <a:extLst>
            <a:ext uri="{FF2B5EF4-FFF2-40B4-BE49-F238E27FC236}">
              <a16:creationId xmlns:a16="http://schemas.microsoft.com/office/drawing/2014/main" id="{00000000-0008-0000-0800-00001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8" name="Text Box 89">
          <a:extLst>
            <a:ext uri="{FF2B5EF4-FFF2-40B4-BE49-F238E27FC236}">
              <a16:creationId xmlns:a16="http://schemas.microsoft.com/office/drawing/2014/main" id="{00000000-0008-0000-0800-00001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9" name="Text Box 90">
          <a:extLst>
            <a:ext uri="{FF2B5EF4-FFF2-40B4-BE49-F238E27FC236}">
              <a16:creationId xmlns:a16="http://schemas.microsoft.com/office/drawing/2014/main" id="{00000000-0008-0000-0800-00001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0" name="Text Box 91">
          <a:extLst>
            <a:ext uri="{FF2B5EF4-FFF2-40B4-BE49-F238E27FC236}">
              <a16:creationId xmlns:a16="http://schemas.microsoft.com/office/drawing/2014/main" id="{00000000-0008-0000-0800-00001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1" name="Text Box 92">
          <a:extLst>
            <a:ext uri="{FF2B5EF4-FFF2-40B4-BE49-F238E27FC236}">
              <a16:creationId xmlns:a16="http://schemas.microsoft.com/office/drawing/2014/main" id="{00000000-0008-0000-0800-00001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2" name="Text Box 93">
          <a:extLst>
            <a:ext uri="{FF2B5EF4-FFF2-40B4-BE49-F238E27FC236}">
              <a16:creationId xmlns:a16="http://schemas.microsoft.com/office/drawing/2014/main" id="{00000000-0008-0000-0800-00002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3" name="Text Box 94">
          <a:extLst>
            <a:ext uri="{FF2B5EF4-FFF2-40B4-BE49-F238E27FC236}">
              <a16:creationId xmlns:a16="http://schemas.microsoft.com/office/drawing/2014/main" id="{00000000-0008-0000-0800-00002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4" name="Text Box 95">
          <a:extLst>
            <a:ext uri="{FF2B5EF4-FFF2-40B4-BE49-F238E27FC236}">
              <a16:creationId xmlns:a16="http://schemas.microsoft.com/office/drawing/2014/main" id="{00000000-0008-0000-0800-00002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5" name="Text Box 96">
          <a:extLst>
            <a:ext uri="{FF2B5EF4-FFF2-40B4-BE49-F238E27FC236}">
              <a16:creationId xmlns:a16="http://schemas.microsoft.com/office/drawing/2014/main" id="{00000000-0008-0000-0800-00002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6" name="Text Box 97">
          <a:extLst>
            <a:ext uri="{FF2B5EF4-FFF2-40B4-BE49-F238E27FC236}">
              <a16:creationId xmlns:a16="http://schemas.microsoft.com/office/drawing/2014/main" id="{00000000-0008-0000-0800-00002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7" name="Text Box 100">
          <a:extLst>
            <a:ext uri="{FF2B5EF4-FFF2-40B4-BE49-F238E27FC236}">
              <a16:creationId xmlns:a16="http://schemas.microsoft.com/office/drawing/2014/main" id="{00000000-0008-0000-0800-00002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8" name="Text Box 101">
          <a:extLst>
            <a:ext uri="{FF2B5EF4-FFF2-40B4-BE49-F238E27FC236}">
              <a16:creationId xmlns:a16="http://schemas.microsoft.com/office/drawing/2014/main" id="{00000000-0008-0000-0800-00002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9" name="Text Box 102">
          <a:extLst>
            <a:ext uri="{FF2B5EF4-FFF2-40B4-BE49-F238E27FC236}">
              <a16:creationId xmlns:a16="http://schemas.microsoft.com/office/drawing/2014/main" id="{00000000-0008-0000-0800-00002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0" name="Text Box 103">
          <a:extLst>
            <a:ext uri="{FF2B5EF4-FFF2-40B4-BE49-F238E27FC236}">
              <a16:creationId xmlns:a16="http://schemas.microsoft.com/office/drawing/2014/main" id="{00000000-0008-0000-0800-00002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1" name="Text Box 104">
          <a:extLst>
            <a:ext uri="{FF2B5EF4-FFF2-40B4-BE49-F238E27FC236}">
              <a16:creationId xmlns:a16="http://schemas.microsoft.com/office/drawing/2014/main" id="{00000000-0008-0000-0800-00002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2" name="Text Box 105">
          <a:extLst>
            <a:ext uri="{FF2B5EF4-FFF2-40B4-BE49-F238E27FC236}">
              <a16:creationId xmlns:a16="http://schemas.microsoft.com/office/drawing/2014/main" id="{00000000-0008-0000-0800-00002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3" name="Text Box 106">
          <a:extLst>
            <a:ext uri="{FF2B5EF4-FFF2-40B4-BE49-F238E27FC236}">
              <a16:creationId xmlns:a16="http://schemas.microsoft.com/office/drawing/2014/main" id="{00000000-0008-0000-0800-00002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4" name="Text Box 107">
          <a:extLst>
            <a:ext uri="{FF2B5EF4-FFF2-40B4-BE49-F238E27FC236}">
              <a16:creationId xmlns:a16="http://schemas.microsoft.com/office/drawing/2014/main" id="{00000000-0008-0000-0800-00002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5" name="Text Box 108">
          <a:extLst>
            <a:ext uri="{FF2B5EF4-FFF2-40B4-BE49-F238E27FC236}">
              <a16:creationId xmlns:a16="http://schemas.microsoft.com/office/drawing/2014/main" id="{00000000-0008-0000-0800-00002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6" name="Text Box 109">
          <a:extLst>
            <a:ext uri="{FF2B5EF4-FFF2-40B4-BE49-F238E27FC236}">
              <a16:creationId xmlns:a16="http://schemas.microsoft.com/office/drawing/2014/main" id="{00000000-0008-0000-0800-00002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7" name="Text Box 110">
          <a:extLst>
            <a:ext uri="{FF2B5EF4-FFF2-40B4-BE49-F238E27FC236}">
              <a16:creationId xmlns:a16="http://schemas.microsoft.com/office/drawing/2014/main" id="{00000000-0008-0000-0800-00002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8" name="Text Box 111">
          <a:extLst>
            <a:ext uri="{FF2B5EF4-FFF2-40B4-BE49-F238E27FC236}">
              <a16:creationId xmlns:a16="http://schemas.microsoft.com/office/drawing/2014/main" id="{00000000-0008-0000-0800-00003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9" name="Text Box 119">
          <a:extLst>
            <a:ext uri="{FF2B5EF4-FFF2-40B4-BE49-F238E27FC236}">
              <a16:creationId xmlns:a16="http://schemas.microsoft.com/office/drawing/2014/main" id="{00000000-0008-0000-0800-00003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0" name="Text Box 120">
          <a:extLst>
            <a:ext uri="{FF2B5EF4-FFF2-40B4-BE49-F238E27FC236}">
              <a16:creationId xmlns:a16="http://schemas.microsoft.com/office/drawing/2014/main" id="{00000000-0008-0000-0800-00003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1" name="Text Box 121">
          <a:extLst>
            <a:ext uri="{FF2B5EF4-FFF2-40B4-BE49-F238E27FC236}">
              <a16:creationId xmlns:a16="http://schemas.microsoft.com/office/drawing/2014/main" id="{00000000-0008-0000-0800-00003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2" name="Text Box 122">
          <a:extLst>
            <a:ext uri="{FF2B5EF4-FFF2-40B4-BE49-F238E27FC236}">
              <a16:creationId xmlns:a16="http://schemas.microsoft.com/office/drawing/2014/main" id="{00000000-0008-0000-0800-00003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3" name="Text Box 123">
          <a:extLst>
            <a:ext uri="{FF2B5EF4-FFF2-40B4-BE49-F238E27FC236}">
              <a16:creationId xmlns:a16="http://schemas.microsoft.com/office/drawing/2014/main" id="{00000000-0008-0000-0800-00003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4" name="Text Box 124">
          <a:extLst>
            <a:ext uri="{FF2B5EF4-FFF2-40B4-BE49-F238E27FC236}">
              <a16:creationId xmlns:a16="http://schemas.microsoft.com/office/drawing/2014/main" id="{00000000-0008-0000-0800-00003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5" name="Text Box 125">
          <a:extLst>
            <a:ext uri="{FF2B5EF4-FFF2-40B4-BE49-F238E27FC236}">
              <a16:creationId xmlns:a16="http://schemas.microsoft.com/office/drawing/2014/main" id="{00000000-0008-0000-0800-00003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6" name="Text Box 126">
          <a:extLst>
            <a:ext uri="{FF2B5EF4-FFF2-40B4-BE49-F238E27FC236}">
              <a16:creationId xmlns:a16="http://schemas.microsoft.com/office/drawing/2014/main" id="{00000000-0008-0000-0800-00003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7" name="Text Box 127">
          <a:extLst>
            <a:ext uri="{FF2B5EF4-FFF2-40B4-BE49-F238E27FC236}">
              <a16:creationId xmlns:a16="http://schemas.microsoft.com/office/drawing/2014/main" id="{00000000-0008-0000-0800-00003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8" name="Text Box 128">
          <a:extLst>
            <a:ext uri="{FF2B5EF4-FFF2-40B4-BE49-F238E27FC236}">
              <a16:creationId xmlns:a16="http://schemas.microsoft.com/office/drawing/2014/main" id="{00000000-0008-0000-0800-00003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9" name="Text Box 129">
          <a:extLst>
            <a:ext uri="{FF2B5EF4-FFF2-40B4-BE49-F238E27FC236}">
              <a16:creationId xmlns:a16="http://schemas.microsoft.com/office/drawing/2014/main" id="{00000000-0008-0000-0800-00003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20" name="Text Box 130">
          <a:extLst>
            <a:ext uri="{FF2B5EF4-FFF2-40B4-BE49-F238E27FC236}">
              <a16:creationId xmlns:a16="http://schemas.microsoft.com/office/drawing/2014/main" id="{00000000-0008-0000-0800-00003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1" name="Text Box 133">
          <a:extLst>
            <a:ext uri="{FF2B5EF4-FFF2-40B4-BE49-F238E27FC236}">
              <a16:creationId xmlns:a16="http://schemas.microsoft.com/office/drawing/2014/main" id="{00000000-0008-0000-0800-00003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2" name="Text Box 134">
          <a:extLst>
            <a:ext uri="{FF2B5EF4-FFF2-40B4-BE49-F238E27FC236}">
              <a16:creationId xmlns:a16="http://schemas.microsoft.com/office/drawing/2014/main" id="{00000000-0008-0000-0800-00003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3" name="Text Box 135">
          <a:extLst>
            <a:ext uri="{FF2B5EF4-FFF2-40B4-BE49-F238E27FC236}">
              <a16:creationId xmlns:a16="http://schemas.microsoft.com/office/drawing/2014/main" id="{00000000-0008-0000-0800-00003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4" name="Text Box 136">
          <a:extLst>
            <a:ext uri="{FF2B5EF4-FFF2-40B4-BE49-F238E27FC236}">
              <a16:creationId xmlns:a16="http://schemas.microsoft.com/office/drawing/2014/main" id="{00000000-0008-0000-0800-00004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5" name="Text Box 137">
          <a:extLst>
            <a:ext uri="{FF2B5EF4-FFF2-40B4-BE49-F238E27FC236}">
              <a16:creationId xmlns:a16="http://schemas.microsoft.com/office/drawing/2014/main" id="{00000000-0008-0000-0800-00004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6" name="Text Box 138">
          <a:extLst>
            <a:ext uri="{FF2B5EF4-FFF2-40B4-BE49-F238E27FC236}">
              <a16:creationId xmlns:a16="http://schemas.microsoft.com/office/drawing/2014/main" id="{00000000-0008-0000-0800-00004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7" name="Text Box 139">
          <a:extLst>
            <a:ext uri="{FF2B5EF4-FFF2-40B4-BE49-F238E27FC236}">
              <a16:creationId xmlns:a16="http://schemas.microsoft.com/office/drawing/2014/main" id="{00000000-0008-0000-0800-00004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8" name="Text Box 140">
          <a:extLst>
            <a:ext uri="{FF2B5EF4-FFF2-40B4-BE49-F238E27FC236}">
              <a16:creationId xmlns:a16="http://schemas.microsoft.com/office/drawing/2014/main" id="{00000000-0008-0000-0800-00004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9" name="Text Box 141">
          <a:extLst>
            <a:ext uri="{FF2B5EF4-FFF2-40B4-BE49-F238E27FC236}">
              <a16:creationId xmlns:a16="http://schemas.microsoft.com/office/drawing/2014/main" id="{00000000-0008-0000-0800-00004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0" name="Text Box 142">
          <a:extLst>
            <a:ext uri="{FF2B5EF4-FFF2-40B4-BE49-F238E27FC236}">
              <a16:creationId xmlns:a16="http://schemas.microsoft.com/office/drawing/2014/main" id="{00000000-0008-0000-0800-00004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1" name="Text Box 143">
          <a:extLst>
            <a:ext uri="{FF2B5EF4-FFF2-40B4-BE49-F238E27FC236}">
              <a16:creationId xmlns:a16="http://schemas.microsoft.com/office/drawing/2014/main" id="{00000000-0008-0000-0800-00004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2" name="Text Box 144">
          <a:extLst>
            <a:ext uri="{FF2B5EF4-FFF2-40B4-BE49-F238E27FC236}">
              <a16:creationId xmlns:a16="http://schemas.microsoft.com/office/drawing/2014/main" id="{00000000-0008-0000-0800-00004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3" name="Text Box 145">
          <a:extLst>
            <a:ext uri="{FF2B5EF4-FFF2-40B4-BE49-F238E27FC236}">
              <a16:creationId xmlns:a16="http://schemas.microsoft.com/office/drawing/2014/main" id="{00000000-0008-0000-0800-00004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4" name="Text Box 146">
          <a:extLst>
            <a:ext uri="{FF2B5EF4-FFF2-40B4-BE49-F238E27FC236}">
              <a16:creationId xmlns:a16="http://schemas.microsoft.com/office/drawing/2014/main" id="{00000000-0008-0000-0800-00004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5" name="Text Box 147">
          <a:extLst>
            <a:ext uri="{FF2B5EF4-FFF2-40B4-BE49-F238E27FC236}">
              <a16:creationId xmlns:a16="http://schemas.microsoft.com/office/drawing/2014/main" id="{00000000-0008-0000-0800-00004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6" name="Text Box 148">
          <a:extLst>
            <a:ext uri="{FF2B5EF4-FFF2-40B4-BE49-F238E27FC236}">
              <a16:creationId xmlns:a16="http://schemas.microsoft.com/office/drawing/2014/main" id="{00000000-0008-0000-0800-00004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7" name="Text Box 149">
          <a:extLst>
            <a:ext uri="{FF2B5EF4-FFF2-40B4-BE49-F238E27FC236}">
              <a16:creationId xmlns:a16="http://schemas.microsoft.com/office/drawing/2014/main" id="{00000000-0008-0000-0800-00004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8" name="Text Box 150">
          <a:extLst>
            <a:ext uri="{FF2B5EF4-FFF2-40B4-BE49-F238E27FC236}">
              <a16:creationId xmlns:a16="http://schemas.microsoft.com/office/drawing/2014/main" id="{00000000-0008-0000-0800-00004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9" name="Text Box 151">
          <a:extLst>
            <a:ext uri="{FF2B5EF4-FFF2-40B4-BE49-F238E27FC236}">
              <a16:creationId xmlns:a16="http://schemas.microsoft.com/office/drawing/2014/main" id="{00000000-0008-0000-0800-00004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0" name="Text Box 152">
          <a:extLst>
            <a:ext uri="{FF2B5EF4-FFF2-40B4-BE49-F238E27FC236}">
              <a16:creationId xmlns:a16="http://schemas.microsoft.com/office/drawing/2014/main" id="{00000000-0008-0000-0800-00005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1" name="Text Box 153">
          <a:extLst>
            <a:ext uri="{FF2B5EF4-FFF2-40B4-BE49-F238E27FC236}">
              <a16:creationId xmlns:a16="http://schemas.microsoft.com/office/drawing/2014/main" id="{00000000-0008-0000-0800-00005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2" name="Text Box 154">
          <a:extLst>
            <a:ext uri="{FF2B5EF4-FFF2-40B4-BE49-F238E27FC236}">
              <a16:creationId xmlns:a16="http://schemas.microsoft.com/office/drawing/2014/main" id="{00000000-0008-0000-0800-00005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3" name="Text Box 155">
          <a:extLst>
            <a:ext uri="{FF2B5EF4-FFF2-40B4-BE49-F238E27FC236}">
              <a16:creationId xmlns:a16="http://schemas.microsoft.com/office/drawing/2014/main" id="{00000000-0008-0000-0800-00005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4" name="Text Box 156">
          <a:extLst>
            <a:ext uri="{FF2B5EF4-FFF2-40B4-BE49-F238E27FC236}">
              <a16:creationId xmlns:a16="http://schemas.microsoft.com/office/drawing/2014/main" id="{00000000-0008-0000-0800-00005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5" name="Text Box 157">
          <a:extLst>
            <a:ext uri="{FF2B5EF4-FFF2-40B4-BE49-F238E27FC236}">
              <a16:creationId xmlns:a16="http://schemas.microsoft.com/office/drawing/2014/main" id="{00000000-0008-0000-0800-00005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6" name="Text Box 158">
          <a:extLst>
            <a:ext uri="{FF2B5EF4-FFF2-40B4-BE49-F238E27FC236}">
              <a16:creationId xmlns:a16="http://schemas.microsoft.com/office/drawing/2014/main" id="{00000000-0008-0000-0800-00005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7" name="Text Box 159">
          <a:extLst>
            <a:ext uri="{FF2B5EF4-FFF2-40B4-BE49-F238E27FC236}">
              <a16:creationId xmlns:a16="http://schemas.microsoft.com/office/drawing/2014/main" id="{00000000-0008-0000-0800-00005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8" name="Text Box 160">
          <a:extLst>
            <a:ext uri="{FF2B5EF4-FFF2-40B4-BE49-F238E27FC236}">
              <a16:creationId xmlns:a16="http://schemas.microsoft.com/office/drawing/2014/main" id="{00000000-0008-0000-0800-00005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9" name="Text Box 161">
          <a:extLst>
            <a:ext uri="{FF2B5EF4-FFF2-40B4-BE49-F238E27FC236}">
              <a16:creationId xmlns:a16="http://schemas.microsoft.com/office/drawing/2014/main" id="{00000000-0008-0000-0800-00005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0" name="Text Box 162">
          <a:extLst>
            <a:ext uri="{FF2B5EF4-FFF2-40B4-BE49-F238E27FC236}">
              <a16:creationId xmlns:a16="http://schemas.microsoft.com/office/drawing/2014/main" id="{00000000-0008-0000-0800-00005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1" name="Text Box 163">
          <a:extLst>
            <a:ext uri="{FF2B5EF4-FFF2-40B4-BE49-F238E27FC236}">
              <a16:creationId xmlns:a16="http://schemas.microsoft.com/office/drawing/2014/main" id="{00000000-0008-0000-0800-00005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2" name="Text Box 164">
          <a:extLst>
            <a:ext uri="{FF2B5EF4-FFF2-40B4-BE49-F238E27FC236}">
              <a16:creationId xmlns:a16="http://schemas.microsoft.com/office/drawing/2014/main" id="{00000000-0008-0000-0800-00005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3" name="Text Box 165">
          <a:extLst>
            <a:ext uri="{FF2B5EF4-FFF2-40B4-BE49-F238E27FC236}">
              <a16:creationId xmlns:a16="http://schemas.microsoft.com/office/drawing/2014/main" id="{00000000-0008-0000-0800-00005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4" name="Text Box 166">
          <a:extLst>
            <a:ext uri="{FF2B5EF4-FFF2-40B4-BE49-F238E27FC236}">
              <a16:creationId xmlns:a16="http://schemas.microsoft.com/office/drawing/2014/main" id="{00000000-0008-0000-0800-00005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5" name="Text Box 167">
          <a:extLst>
            <a:ext uri="{FF2B5EF4-FFF2-40B4-BE49-F238E27FC236}">
              <a16:creationId xmlns:a16="http://schemas.microsoft.com/office/drawing/2014/main" id="{00000000-0008-0000-0800-00005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6" name="Text Box 168">
          <a:extLst>
            <a:ext uri="{FF2B5EF4-FFF2-40B4-BE49-F238E27FC236}">
              <a16:creationId xmlns:a16="http://schemas.microsoft.com/office/drawing/2014/main" id="{00000000-0008-0000-0800-00006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7" name="Text Box 169">
          <a:extLst>
            <a:ext uri="{FF2B5EF4-FFF2-40B4-BE49-F238E27FC236}">
              <a16:creationId xmlns:a16="http://schemas.microsoft.com/office/drawing/2014/main" id="{00000000-0008-0000-0800-00006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8" name="Text Box 170">
          <a:extLst>
            <a:ext uri="{FF2B5EF4-FFF2-40B4-BE49-F238E27FC236}">
              <a16:creationId xmlns:a16="http://schemas.microsoft.com/office/drawing/2014/main" id="{00000000-0008-0000-0800-00006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9" name="Text Box 171">
          <a:extLst>
            <a:ext uri="{FF2B5EF4-FFF2-40B4-BE49-F238E27FC236}">
              <a16:creationId xmlns:a16="http://schemas.microsoft.com/office/drawing/2014/main" id="{00000000-0008-0000-0800-00006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0" name="Text Box 172">
          <a:extLst>
            <a:ext uri="{FF2B5EF4-FFF2-40B4-BE49-F238E27FC236}">
              <a16:creationId xmlns:a16="http://schemas.microsoft.com/office/drawing/2014/main" id="{00000000-0008-0000-0800-00006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1" name="Text Box 173">
          <a:extLst>
            <a:ext uri="{FF2B5EF4-FFF2-40B4-BE49-F238E27FC236}">
              <a16:creationId xmlns:a16="http://schemas.microsoft.com/office/drawing/2014/main" id="{00000000-0008-0000-0800-00006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2" name="Text Box 174">
          <a:extLst>
            <a:ext uri="{FF2B5EF4-FFF2-40B4-BE49-F238E27FC236}">
              <a16:creationId xmlns:a16="http://schemas.microsoft.com/office/drawing/2014/main" id="{00000000-0008-0000-0800-00006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3" name="Text Box 175">
          <a:extLst>
            <a:ext uri="{FF2B5EF4-FFF2-40B4-BE49-F238E27FC236}">
              <a16:creationId xmlns:a16="http://schemas.microsoft.com/office/drawing/2014/main" id="{00000000-0008-0000-0800-00006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4" name="Text Box 176">
          <a:extLst>
            <a:ext uri="{FF2B5EF4-FFF2-40B4-BE49-F238E27FC236}">
              <a16:creationId xmlns:a16="http://schemas.microsoft.com/office/drawing/2014/main" id="{00000000-0008-0000-0800-00006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5" name="Text Box 177">
          <a:extLst>
            <a:ext uri="{FF2B5EF4-FFF2-40B4-BE49-F238E27FC236}">
              <a16:creationId xmlns:a16="http://schemas.microsoft.com/office/drawing/2014/main" id="{00000000-0008-0000-0800-00006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6" name="Text Box 178">
          <a:extLst>
            <a:ext uri="{FF2B5EF4-FFF2-40B4-BE49-F238E27FC236}">
              <a16:creationId xmlns:a16="http://schemas.microsoft.com/office/drawing/2014/main" id="{00000000-0008-0000-0800-00006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7" name="Text Box 179">
          <a:extLst>
            <a:ext uri="{FF2B5EF4-FFF2-40B4-BE49-F238E27FC236}">
              <a16:creationId xmlns:a16="http://schemas.microsoft.com/office/drawing/2014/main" id="{00000000-0008-0000-0800-00006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8" name="Text Box 180">
          <a:extLst>
            <a:ext uri="{FF2B5EF4-FFF2-40B4-BE49-F238E27FC236}">
              <a16:creationId xmlns:a16="http://schemas.microsoft.com/office/drawing/2014/main" id="{00000000-0008-0000-0800-00006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9" name="Text Box 181">
          <a:extLst>
            <a:ext uri="{FF2B5EF4-FFF2-40B4-BE49-F238E27FC236}">
              <a16:creationId xmlns:a16="http://schemas.microsoft.com/office/drawing/2014/main" id="{00000000-0008-0000-0800-00006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0" name="Text Box 182">
          <a:extLst>
            <a:ext uri="{FF2B5EF4-FFF2-40B4-BE49-F238E27FC236}">
              <a16:creationId xmlns:a16="http://schemas.microsoft.com/office/drawing/2014/main" id="{00000000-0008-0000-0800-00006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1" name="Text Box 183">
          <a:extLst>
            <a:ext uri="{FF2B5EF4-FFF2-40B4-BE49-F238E27FC236}">
              <a16:creationId xmlns:a16="http://schemas.microsoft.com/office/drawing/2014/main" id="{00000000-0008-0000-0800-00006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2" name="Text Box 184">
          <a:extLst>
            <a:ext uri="{FF2B5EF4-FFF2-40B4-BE49-F238E27FC236}">
              <a16:creationId xmlns:a16="http://schemas.microsoft.com/office/drawing/2014/main" id="{00000000-0008-0000-0800-00007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3" name="Text Box 185">
          <a:extLst>
            <a:ext uri="{FF2B5EF4-FFF2-40B4-BE49-F238E27FC236}">
              <a16:creationId xmlns:a16="http://schemas.microsoft.com/office/drawing/2014/main" id="{00000000-0008-0000-0800-00007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4" name="Text Box 186">
          <a:extLst>
            <a:ext uri="{FF2B5EF4-FFF2-40B4-BE49-F238E27FC236}">
              <a16:creationId xmlns:a16="http://schemas.microsoft.com/office/drawing/2014/main" id="{00000000-0008-0000-0800-00007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5" name="Text Box 187">
          <a:extLst>
            <a:ext uri="{FF2B5EF4-FFF2-40B4-BE49-F238E27FC236}">
              <a16:creationId xmlns:a16="http://schemas.microsoft.com/office/drawing/2014/main" id="{00000000-0008-0000-0800-00007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6" name="Text Box 188">
          <a:extLst>
            <a:ext uri="{FF2B5EF4-FFF2-40B4-BE49-F238E27FC236}">
              <a16:creationId xmlns:a16="http://schemas.microsoft.com/office/drawing/2014/main" id="{00000000-0008-0000-0800-00007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7" name="Text Box 189">
          <a:extLst>
            <a:ext uri="{FF2B5EF4-FFF2-40B4-BE49-F238E27FC236}">
              <a16:creationId xmlns:a16="http://schemas.microsoft.com/office/drawing/2014/main" id="{00000000-0008-0000-0800-00007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8" name="Text Box 190">
          <a:extLst>
            <a:ext uri="{FF2B5EF4-FFF2-40B4-BE49-F238E27FC236}">
              <a16:creationId xmlns:a16="http://schemas.microsoft.com/office/drawing/2014/main" id="{00000000-0008-0000-0800-00007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9" name="Text Box 191">
          <a:extLst>
            <a:ext uri="{FF2B5EF4-FFF2-40B4-BE49-F238E27FC236}">
              <a16:creationId xmlns:a16="http://schemas.microsoft.com/office/drawing/2014/main" id="{00000000-0008-0000-0800-00007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0" name="Text Box 192">
          <a:extLst>
            <a:ext uri="{FF2B5EF4-FFF2-40B4-BE49-F238E27FC236}">
              <a16:creationId xmlns:a16="http://schemas.microsoft.com/office/drawing/2014/main" id="{00000000-0008-0000-0800-00007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1" name="Text Box 193">
          <a:extLst>
            <a:ext uri="{FF2B5EF4-FFF2-40B4-BE49-F238E27FC236}">
              <a16:creationId xmlns:a16="http://schemas.microsoft.com/office/drawing/2014/main" id="{00000000-0008-0000-0800-00007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2" name="Text Box 194">
          <a:extLst>
            <a:ext uri="{FF2B5EF4-FFF2-40B4-BE49-F238E27FC236}">
              <a16:creationId xmlns:a16="http://schemas.microsoft.com/office/drawing/2014/main" id="{00000000-0008-0000-0800-00007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3" name="Text Box 195">
          <a:extLst>
            <a:ext uri="{FF2B5EF4-FFF2-40B4-BE49-F238E27FC236}">
              <a16:creationId xmlns:a16="http://schemas.microsoft.com/office/drawing/2014/main" id="{00000000-0008-0000-0800-00007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4" name="Text Box 196">
          <a:extLst>
            <a:ext uri="{FF2B5EF4-FFF2-40B4-BE49-F238E27FC236}">
              <a16:creationId xmlns:a16="http://schemas.microsoft.com/office/drawing/2014/main" id="{00000000-0008-0000-0800-00007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5" name="Text Box 197">
          <a:extLst>
            <a:ext uri="{FF2B5EF4-FFF2-40B4-BE49-F238E27FC236}">
              <a16:creationId xmlns:a16="http://schemas.microsoft.com/office/drawing/2014/main" id="{00000000-0008-0000-0800-00007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6" name="Text Box 198">
          <a:extLst>
            <a:ext uri="{FF2B5EF4-FFF2-40B4-BE49-F238E27FC236}">
              <a16:creationId xmlns:a16="http://schemas.microsoft.com/office/drawing/2014/main" id="{00000000-0008-0000-0800-00007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7" name="Text Box 199">
          <a:extLst>
            <a:ext uri="{FF2B5EF4-FFF2-40B4-BE49-F238E27FC236}">
              <a16:creationId xmlns:a16="http://schemas.microsoft.com/office/drawing/2014/main" id="{00000000-0008-0000-0800-00007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8" name="Text Box 200">
          <a:extLst>
            <a:ext uri="{FF2B5EF4-FFF2-40B4-BE49-F238E27FC236}">
              <a16:creationId xmlns:a16="http://schemas.microsoft.com/office/drawing/2014/main" id="{00000000-0008-0000-0800-00008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9" name="Text Box 201">
          <a:extLst>
            <a:ext uri="{FF2B5EF4-FFF2-40B4-BE49-F238E27FC236}">
              <a16:creationId xmlns:a16="http://schemas.microsoft.com/office/drawing/2014/main" id="{00000000-0008-0000-0800-00008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90" name="Text Box 202">
          <a:extLst>
            <a:ext uri="{FF2B5EF4-FFF2-40B4-BE49-F238E27FC236}">
              <a16:creationId xmlns:a16="http://schemas.microsoft.com/office/drawing/2014/main" id="{00000000-0008-0000-0800-00008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1" name="Text Box 203">
          <a:extLst>
            <a:ext uri="{FF2B5EF4-FFF2-40B4-BE49-F238E27FC236}">
              <a16:creationId xmlns:a16="http://schemas.microsoft.com/office/drawing/2014/main" id="{00000000-0008-0000-0800-00008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2" name="Text Box 204">
          <a:extLst>
            <a:ext uri="{FF2B5EF4-FFF2-40B4-BE49-F238E27FC236}">
              <a16:creationId xmlns:a16="http://schemas.microsoft.com/office/drawing/2014/main" id="{00000000-0008-0000-0800-00008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3" name="Text Box 205">
          <a:extLst>
            <a:ext uri="{FF2B5EF4-FFF2-40B4-BE49-F238E27FC236}">
              <a16:creationId xmlns:a16="http://schemas.microsoft.com/office/drawing/2014/main" id="{00000000-0008-0000-0800-00008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4" name="Text Box 206">
          <a:extLst>
            <a:ext uri="{FF2B5EF4-FFF2-40B4-BE49-F238E27FC236}">
              <a16:creationId xmlns:a16="http://schemas.microsoft.com/office/drawing/2014/main" id="{00000000-0008-0000-0800-00008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5" name="Text Box 207">
          <a:extLst>
            <a:ext uri="{FF2B5EF4-FFF2-40B4-BE49-F238E27FC236}">
              <a16:creationId xmlns:a16="http://schemas.microsoft.com/office/drawing/2014/main" id="{00000000-0008-0000-0800-00008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6" name="Text Box 208">
          <a:extLst>
            <a:ext uri="{FF2B5EF4-FFF2-40B4-BE49-F238E27FC236}">
              <a16:creationId xmlns:a16="http://schemas.microsoft.com/office/drawing/2014/main" id="{00000000-0008-0000-0800-00008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7" name="Text Box 209">
          <a:extLst>
            <a:ext uri="{FF2B5EF4-FFF2-40B4-BE49-F238E27FC236}">
              <a16:creationId xmlns:a16="http://schemas.microsoft.com/office/drawing/2014/main" id="{00000000-0008-0000-0800-00008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8" name="Text Box 210">
          <a:extLst>
            <a:ext uri="{FF2B5EF4-FFF2-40B4-BE49-F238E27FC236}">
              <a16:creationId xmlns:a16="http://schemas.microsoft.com/office/drawing/2014/main" id="{00000000-0008-0000-0800-00008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9" name="Text Box 211">
          <a:extLst>
            <a:ext uri="{FF2B5EF4-FFF2-40B4-BE49-F238E27FC236}">
              <a16:creationId xmlns:a16="http://schemas.microsoft.com/office/drawing/2014/main" id="{00000000-0008-0000-0800-00008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0" name="Text Box 212">
          <a:extLst>
            <a:ext uri="{FF2B5EF4-FFF2-40B4-BE49-F238E27FC236}">
              <a16:creationId xmlns:a16="http://schemas.microsoft.com/office/drawing/2014/main" id="{00000000-0008-0000-0800-00008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1" name="Text Box 213">
          <a:extLst>
            <a:ext uri="{FF2B5EF4-FFF2-40B4-BE49-F238E27FC236}">
              <a16:creationId xmlns:a16="http://schemas.microsoft.com/office/drawing/2014/main" id="{00000000-0008-0000-0800-00008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2" name="Text Box 214">
          <a:extLst>
            <a:ext uri="{FF2B5EF4-FFF2-40B4-BE49-F238E27FC236}">
              <a16:creationId xmlns:a16="http://schemas.microsoft.com/office/drawing/2014/main" id="{00000000-0008-0000-0800-00008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3" name="Text Box 215">
          <a:extLst>
            <a:ext uri="{FF2B5EF4-FFF2-40B4-BE49-F238E27FC236}">
              <a16:creationId xmlns:a16="http://schemas.microsoft.com/office/drawing/2014/main" id="{00000000-0008-0000-0800-00008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4" name="Text Box 216">
          <a:extLst>
            <a:ext uri="{FF2B5EF4-FFF2-40B4-BE49-F238E27FC236}">
              <a16:creationId xmlns:a16="http://schemas.microsoft.com/office/drawing/2014/main" id="{00000000-0008-0000-0800-00009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5" name="Text Box 217">
          <a:extLst>
            <a:ext uri="{FF2B5EF4-FFF2-40B4-BE49-F238E27FC236}">
              <a16:creationId xmlns:a16="http://schemas.microsoft.com/office/drawing/2014/main" id="{00000000-0008-0000-0800-00009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6" name="Text Box 218">
          <a:extLst>
            <a:ext uri="{FF2B5EF4-FFF2-40B4-BE49-F238E27FC236}">
              <a16:creationId xmlns:a16="http://schemas.microsoft.com/office/drawing/2014/main" id="{00000000-0008-0000-0800-00009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7" name="Text Box 219">
          <a:extLst>
            <a:ext uri="{FF2B5EF4-FFF2-40B4-BE49-F238E27FC236}">
              <a16:creationId xmlns:a16="http://schemas.microsoft.com/office/drawing/2014/main" id="{00000000-0008-0000-0800-00009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8" name="Text Box 220">
          <a:extLst>
            <a:ext uri="{FF2B5EF4-FFF2-40B4-BE49-F238E27FC236}">
              <a16:creationId xmlns:a16="http://schemas.microsoft.com/office/drawing/2014/main" id="{00000000-0008-0000-0800-00009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9" name="Text Box 221">
          <a:extLst>
            <a:ext uri="{FF2B5EF4-FFF2-40B4-BE49-F238E27FC236}">
              <a16:creationId xmlns:a16="http://schemas.microsoft.com/office/drawing/2014/main" id="{00000000-0008-0000-0800-00009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0" name="Text Box 222">
          <a:extLst>
            <a:ext uri="{FF2B5EF4-FFF2-40B4-BE49-F238E27FC236}">
              <a16:creationId xmlns:a16="http://schemas.microsoft.com/office/drawing/2014/main" id="{00000000-0008-0000-0800-00009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1" name="Text Box 223">
          <a:extLst>
            <a:ext uri="{FF2B5EF4-FFF2-40B4-BE49-F238E27FC236}">
              <a16:creationId xmlns:a16="http://schemas.microsoft.com/office/drawing/2014/main" id="{00000000-0008-0000-0800-00009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2" name="Text Box 224">
          <a:extLst>
            <a:ext uri="{FF2B5EF4-FFF2-40B4-BE49-F238E27FC236}">
              <a16:creationId xmlns:a16="http://schemas.microsoft.com/office/drawing/2014/main" id="{00000000-0008-0000-0800-00009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3" name="Text Box 225">
          <a:extLst>
            <a:ext uri="{FF2B5EF4-FFF2-40B4-BE49-F238E27FC236}">
              <a16:creationId xmlns:a16="http://schemas.microsoft.com/office/drawing/2014/main" id="{00000000-0008-0000-0800-00009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4" name="Text Box 226">
          <a:extLst>
            <a:ext uri="{FF2B5EF4-FFF2-40B4-BE49-F238E27FC236}">
              <a16:creationId xmlns:a16="http://schemas.microsoft.com/office/drawing/2014/main" id="{00000000-0008-0000-0800-00009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5" name="Text Box 227">
          <a:extLst>
            <a:ext uri="{FF2B5EF4-FFF2-40B4-BE49-F238E27FC236}">
              <a16:creationId xmlns:a16="http://schemas.microsoft.com/office/drawing/2014/main" id="{00000000-0008-0000-0800-00009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6" name="Text Box 228">
          <a:extLst>
            <a:ext uri="{FF2B5EF4-FFF2-40B4-BE49-F238E27FC236}">
              <a16:creationId xmlns:a16="http://schemas.microsoft.com/office/drawing/2014/main" id="{00000000-0008-0000-0800-00009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7" name="Text Box 229">
          <a:extLst>
            <a:ext uri="{FF2B5EF4-FFF2-40B4-BE49-F238E27FC236}">
              <a16:creationId xmlns:a16="http://schemas.microsoft.com/office/drawing/2014/main" id="{00000000-0008-0000-0800-00009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8" name="Text Box 230">
          <a:extLst>
            <a:ext uri="{FF2B5EF4-FFF2-40B4-BE49-F238E27FC236}">
              <a16:creationId xmlns:a16="http://schemas.microsoft.com/office/drawing/2014/main" id="{00000000-0008-0000-0800-00009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9" name="Text Box 231">
          <a:extLst>
            <a:ext uri="{FF2B5EF4-FFF2-40B4-BE49-F238E27FC236}">
              <a16:creationId xmlns:a16="http://schemas.microsoft.com/office/drawing/2014/main" id="{00000000-0008-0000-0800-00009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0" name="Text Box 232">
          <a:extLst>
            <a:ext uri="{FF2B5EF4-FFF2-40B4-BE49-F238E27FC236}">
              <a16:creationId xmlns:a16="http://schemas.microsoft.com/office/drawing/2014/main" id="{00000000-0008-0000-0800-0000A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1" name="Text Box 233">
          <a:extLst>
            <a:ext uri="{FF2B5EF4-FFF2-40B4-BE49-F238E27FC236}">
              <a16:creationId xmlns:a16="http://schemas.microsoft.com/office/drawing/2014/main" id="{00000000-0008-0000-0800-0000A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2" name="Text Box 234">
          <a:extLst>
            <a:ext uri="{FF2B5EF4-FFF2-40B4-BE49-F238E27FC236}">
              <a16:creationId xmlns:a16="http://schemas.microsoft.com/office/drawing/2014/main" id="{00000000-0008-0000-0800-0000A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3" name="Text Box 235">
          <a:extLst>
            <a:ext uri="{FF2B5EF4-FFF2-40B4-BE49-F238E27FC236}">
              <a16:creationId xmlns:a16="http://schemas.microsoft.com/office/drawing/2014/main" id="{00000000-0008-0000-0800-0000A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4" name="Text Box 236">
          <a:extLst>
            <a:ext uri="{FF2B5EF4-FFF2-40B4-BE49-F238E27FC236}">
              <a16:creationId xmlns:a16="http://schemas.microsoft.com/office/drawing/2014/main" id="{00000000-0008-0000-0800-0000A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5" name="Text Box 237">
          <a:extLst>
            <a:ext uri="{FF2B5EF4-FFF2-40B4-BE49-F238E27FC236}">
              <a16:creationId xmlns:a16="http://schemas.microsoft.com/office/drawing/2014/main" id="{00000000-0008-0000-0800-0000A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6" name="Text Box 238">
          <a:extLst>
            <a:ext uri="{FF2B5EF4-FFF2-40B4-BE49-F238E27FC236}">
              <a16:creationId xmlns:a16="http://schemas.microsoft.com/office/drawing/2014/main" id="{00000000-0008-0000-0800-0000A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7" name="Text Box 239">
          <a:extLst>
            <a:ext uri="{FF2B5EF4-FFF2-40B4-BE49-F238E27FC236}">
              <a16:creationId xmlns:a16="http://schemas.microsoft.com/office/drawing/2014/main" id="{00000000-0008-0000-0800-0000A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8" name="Text Box 240">
          <a:extLst>
            <a:ext uri="{FF2B5EF4-FFF2-40B4-BE49-F238E27FC236}">
              <a16:creationId xmlns:a16="http://schemas.microsoft.com/office/drawing/2014/main" id="{00000000-0008-0000-0800-0000A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9" name="Text Box 241">
          <a:extLst>
            <a:ext uri="{FF2B5EF4-FFF2-40B4-BE49-F238E27FC236}">
              <a16:creationId xmlns:a16="http://schemas.microsoft.com/office/drawing/2014/main" id="{00000000-0008-0000-0800-0000A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0" name="Text Box 242">
          <a:extLst>
            <a:ext uri="{FF2B5EF4-FFF2-40B4-BE49-F238E27FC236}">
              <a16:creationId xmlns:a16="http://schemas.microsoft.com/office/drawing/2014/main" id="{00000000-0008-0000-0800-0000A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1" name="Text Box 243">
          <a:extLst>
            <a:ext uri="{FF2B5EF4-FFF2-40B4-BE49-F238E27FC236}">
              <a16:creationId xmlns:a16="http://schemas.microsoft.com/office/drawing/2014/main" id="{00000000-0008-0000-0800-0000A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2" name="Text Box 244">
          <a:extLst>
            <a:ext uri="{FF2B5EF4-FFF2-40B4-BE49-F238E27FC236}">
              <a16:creationId xmlns:a16="http://schemas.microsoft.com/office/drawing/2014/main" id="{00000000-0008-0000-0800-0000A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3" name="Text Box 245">
          <a:extLst>
            <a:ext uri="{FF2B5EF4-FFF2-40B4-BE49-F238E27FC236}">
              <a16:creationId xmlns:a16="http://schemas.microsoft.com/office/drawing/2014/main" id="{00000000-0008-0000-0800-0000A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4" name="Text Box 246">
          <a:extLst>
            <a:ext uri="{FF2B5EF4-FFF2-40B4-BE49-F238E27FC236}">
              <a16:creationId xmlns:a16="http://schemas.microsoft.com/office/drawing/2014/main" id="{00000000-0008-0000-0800-0000A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5" name="Text Box 247">
          <a:extLst>
            <a:ext uri="{FF2B5EF4-FFF2-40B4-BE49-F238E27FC236}">
              <a16:creationId xmlns:a16="http://schemas.microsoft.com/office/drawing/2014/main" id="{00000000-0008-0000-0800-0000A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6" name="Text Box 248">
          <a:extLst>
            <a:ext uri="{FF2B5EF4-FFF2-40B4-BE49-F238E27FC236}">
              <a16:creationId xmlns:a16="http://schemas.microsoft.com/office/drawing/2014/main" id="{00000000-0008-0000-0800-0000B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7" name="Text Box 249">
          <a:extLst>
            <a:ext uri="{FF2B5EF4-FFF2-40B4-BE49-F238E27FC236}">
              <a16:creationId xmlns:a16="http://schemas.microsoft.com/office/drawing/2014/main" id="{00000000-0008-0000-0800-0000B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8" name="Text Box 250">
          <a:extLst>
            <a:ext uri="{FF2B5EF4-FFF2-40B4-BE49-F238E27FC236}">
              <a16:creationId xmlns:a16="http://schemas.microsoft.com/office/drawing/2014/main" id="{00000000-0008-0000-0800-0000B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9" name="Text Box 251">
          <a:extLst>
            <a:ext uri="{FF2B5EF4-FFF2-40B4-BE49-F238E27FC236}">
              <a16:creationId xmlns:a16="http://schemas.microsoft.com/office/drawing/2014/main" id="{00000000-0008-0000-0800-0000B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0" name="Text Box 252">
          <a:extLst>
            <a:ext uri="{FF2B5EF4-FFF2-40B4-BE49-F238E27FC236}">
              <a16:creationId xmlns:a16="http://schemas.microsoft.com/office/drawing/2014/main" id="{00000000-0008-0000-0800-0000B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1" name="Text Box 253">
          <a:extLst>
            <a:ext uri="{FF2B5EF4-FFF2-40B4-BE49-F238E27FC236}">
              <a16:creationId xmlns:a16="http://schemas.microsoft.com/office/drawing/2014/main" id="{00000000-0008-0000-0800-0000B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2" name="Text Box 254">
          <a:extLst>
            <a:ext uri="{FF2B5EF4-FFF2-40B4-BE49-F238E27FC236}">
              <a16:creationId xmlns:a16="http://schemas.microsoft.com/office/drawing/2014/main" id="{00000000-0008-0000-0800-0000B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3" name="Text Box 255">
          <a:extLst>
            <a:ext uri="{FF2B5EF4-FFF2-40B4-BE49-F238E27FC236}">
              <a16:creationId xmlns:a16="http://schemas.microsoft.com/office/drawing/2014/main" id="{00000000-0008-0000-0800-0000B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4" name="Text Box 256">
          <a:extLst>
            <a:ext uri="{FF2B5EF4-FFF2-40B4-BE49-F238E27FC236}">
              <a16:creationId xmlns:a16="http://schemas.microsoft.com/office/drawing/2014/main" id="{00000000-0008-0000-0800-0000B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5" name="Text Box 257">
          <a:extLst>
            <a:ext uri="{FF2B5EF4-FFF2-40B4-BE49-F238E27FC236}">
              <a16:creationId xmlns:a16="http://schemas.microsoft.com/office/drawing/2014/main" id="{00000000-0008-0000-0800-0000B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6" name="Text Box 258">
          <a:extLst>
            <a:ext uri="{FF2B5EF4-FFF2-40B4-BE49-F238E27FC236}">
              <a16:creationId xmlns:a16="http://schemas.microsoft.com/office/drawing/2014/main" id="{00000000-0008-0000-0800-0000B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7" name="Text Box 259">
          <a:extLst>
            <a:ext uri="{FF2B5EF4-FFF2-40B4-BE49-F238E27FC236}">
              <a16:creationId xmlns:a16="http://schemas.microsoft.com/office/drawing/2014/main" id="{00000000-0008-0000-0800-0000B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8" name="Text Box 260">
          <a:extLst>
            <a:ext uri="{FF2B5EF4-FFF2-40B4-BE49-F238E27FC236}">
              <a16:creationId xmlns:a16="http://schemas.microsoft.com/office/drawing/2014/main" id="{00000000-0008-0000-0800-0000B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9" name="Text Box 261">
          <a:extLst>
            <a:ext uri="{FF2B5EF4-FFF2-40B4-BE49-F238E27FC236}">
              <a16:creationId xmlns:a16="http://schemas.microsoft.com/office/drawing/2014/main" id="{00000000-0008-0000-0800-0000B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0" name="Text Box 262">
          <a:extLst>
            <a:ext uri="{FF2B5EF4-FFF2-40B4-BE49-F238E27FC236}">
              <a16:creationId xmlns:a16="http://schemas.microsoft.com/office/drawing/2014/main" id="{00000000-0008-0000-0800-0000B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1" name="Text Box 263">
          <a:extLst>
            <a:ext uri="{FF2B5EF4-FFF2-40B4-BE49-F238E27FC236}">
              <a16:creationId xmlns:a16="http://schemas.microsoft.com/office/drawing/2014/main" id="{00000000-0008-0000-0800-0000B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2" name="Text Box 264">
          <a:extLst>
            <a:ext uri="{FF2B5EF4-FFF2-40B4-BE49-F238E27FC236}">
              <a16:creationId xmlns:a16="http://schemas.microsoft.com/office/drawing/2014/main" id="{00000000-0008-0000-0800-0000C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3" name="Text Box 265">
          <a:extLst>
            <a:ext uri="{FF2B5EF4-FFF2-40B4-BE49-F238E27FC236}">
              <a16:creationId xmlns:a16="http://schemas.microsoft.com/office/drawing/2014/main" id="{00000000-0008-0000-0800-0000C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4" name="Text Box 266">
          <a:extLst>
            <a:ext uri="{FF2B5EF4-FFF2-40B4-BE49-F238E27FC236}">
              <a16:creationId xmlns:a16="http://schemas.microsoft.com/office/drawing/2014/main" id="{00000000-0008-0000-0800-0000C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5" name="Text Box 267">
          <a:extLst>
            <a:ext uri="{FF2B5EF4-FFF2-40B4-BE49-F238E27FC236}">
              <a16:creationId xmlns:a16="http://schemas.microsoft.com/office/drawing/2014/main" id="{00000000-0008-0000-0800-0000C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6" name="Text Box 268">
          <a:extLst>
            <a:ext uri="{FF2B5EF4-FFF2-40B4-BE49-F238E27FC236}">
              <a16:creationId xmlns:a16="http://schemas.microsoft.com/office/drawing/2014/main" id="{00000000-0008-0000-0800-0000C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7" name="Text Box 269">
          <a:extLst>
            <a:ext uri="{FF2B5EF4-FFF2-40B4-BE49-F238E27FC236}">
              <a16:creationId xmlns:a16="http://schemas.microsoft.com/office/drawing/2014/main" id="{00000000-0008-0000-0800-0000C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8" name="Text Box 270">
          <a:extLst>
            <a:ext uri="{FF2B5EF4-FFF2-40B4-BE49-F238E27FC236}">
              <a16:creationId xmlns:a16="http://schemas.microsoft.com/office/drawing/2014/main" id="{00000000-0008-0000-0800-0000C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9" name="Text Box 271">
          <a:extLst>
            <a:ext uri="{FF2B5EF4-FFF2-40B4-BE49-F238E27FC236}">
              <a16:creationId xmlns:a16="http://schemas.microsoft.com/office/drawing/2014/main" id="{00000000-0008-0000-0800-0000C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0" name="Text Box 272">
          <a:extLst>
            <a:ext uri="{FF2B5EF4-FFF2-40B4-BE49-F238E27FC236}">
              <a16:creationId xmlns:a16="http://schemas.microsoft.com/office/drawing/2014/main" id="{00000000-0008-0000-0800-0000C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1" name="Text Box 273">
          <a:extLst>
            <a:ext uri="{FF2B5EF4-FFF2-40B4-BE49-F238E27FC236}">
              <a16:creationId xmlns:a16="http://schemas.microsoft.com/office/drawing/2014/main" id="{00000000-0008-0000-0800-0000C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2" name="Text Box 274">
          <a:extLst>
            <a:ext uri="{FF2B5EF4-FFF2-40B4-BE49-F238E27FC236}">
              <a16:creationId xmlns:a16="http://schemas.microsoft.com/office/drawing/2014/main" id="{00000000-0008-0000-0800-0000C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3" name="Text Box 275">
          <a:extLst>
            <a:ext uri="{FF2B5EF4-FFF2-40B4-BE49-F238E27FC236}">
              <a16:creationId xmlns:a16="http://schemas.microsoft.com/office/drawing/2014/main" id="{00000000-0008-0000-0800-0000C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4" name="Text Box 276">
          <a:extLst>
            <a:ext uri="{FF2B5EF4-FFF2-40B4-BE49-F238E27FC236}">
              <a16:creationId xmlns:a16="http://schemas.microsoft.com/office/drawing/2014/main" id="{00000000-0008-0000-0800-0000C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5" name="Text Box 277">
          <a:extLst>
            <a:ext uri="{FF2B5EF4-FFF2-40B4-BE49-F238E27FC236}">
              <a16:creationId xmlns:a16="http://schemas.microsoft.com/office/drawing/2014/main" id="{00000000-0008-0000-0800-0000C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6" name="Text Box 278">
          <a:extLst>
            <a:ext uri="{FF2B5EF4-FFF2-40B4-BE49-F238E27FC236}">
              <a16:creationId xmlns:a16="http://schemas.microsoft.com/office/drawing/2014/main" id="{00000000-0008-0000-0800-0000C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7" name="Text Box 279">
          <a:extLst>
            <a:ext uri="{FF2B5EF4-FFF2-40B4-BE49-F238E27FC236}">
              <a16:creationId xmlns:a16="http://schemas.microsoft.com/office/drawing/2014/main" id="{00000000-0008-0000-0800-0000C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8" name="Text Box 280">
          <a:extLst>
            <a:ext uri="{FF2B5EF4-FFF2-40B4-BE49-F238E27FC236}">
              <a16:creationId xmlns:a16="http://schemas.microsoft.com/office/drawing/2014/main" id="{00000000-0008-0000-0800-0000D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9" name="Text Box 281">
          <a:extLst>
            <a:ext uri="{FF2B5EF4-FFF2-40B4-BE49-F238E27FC236}">
              <a16:creationId xmlns:a16="http://schemas.microsoft.com/office/drawing/2014/main" id="{00000000-0008-0000-0800-0000D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0" name="Text Box 282">
          <a:extLst>
            <a:ext uri="{FF2B5EF4-FFF2-40B4-BE49-F238E27FC236}">
              <a16:creationId xmlns:a16="http://schemas.microsoft.com/office/drawing/2014/main" id="{00000000-0008-0000-0800-0000D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1" name="Text Box 283">
          <a:extLst>
            <a:ext uri="{FF2B5EF4-FFF2-40B4-BE49-F238E27FC236}">
              <a16:creationId xmlns:a16="http://schemas.microsoft.com/office/drawing/2014/main" id="{00000000-0008-0000-0800-0000D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2" name="Text Box 284">
          <a:extLst>
            <a:ext uri="{FF2B5EF4-FFF2-40B4-BE49-F238E27FC236}">
              <a16:creationId xmlns:a16="http://schemas.microsoft.com/office/drawing/2014/main" id="{00000000-0008-0000-0800-0000D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3" name="Text Box 285">
          <a:extLst>
            <a:ext uri="{FF2B5EF4-FFF2-40B4-BE49-F238E27FC236}">
              <a16:creationId xmlns:a16="http://schemas.microsoft.com/office/drawing/2014/main" id="{00000000-0008-0000-0800-0000D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4" name="Text Box 286">
          <a:extLst>
            <a:ext uri="{FF2B5EF4-FFF2-40B4-BE49-F238E27FC236}">
              <a16:creationId xmlns:a16="http://schemas.microsoft.com/office/drawing/2014/main" id="{00000000-0008-0000-0800-0000D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5" name="Text Box 287">
          <a:extLst>
            <a:ext uri="{FF2B5EF4-FFF2-40B4-BE49-F238E27FC236}">
              <a16:creationId xmlns:a16="http://schemas.microsoft.com/office/drawing/2014/main" id="{00000000-0008-0000-0800-0000D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6" name="Text Box 288">
          <a:extLst>
            <a:ext uri="{FF2B5EF4-FFF2-40B4-BE49-F238E27FC236}">
              <a16:creationId xmlns:a16="http://schemas.microsoft.com/office/drawing/2014/main" id="{00000000-0008-0000-0800-0000D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7" name="Text Box 289">
          <a:extLst>
            <a:ext uri="{FF2B5EF4-FFF2-40B4-BE49-F238E27FC236}">
              <a16:creationId xmlns:a16="http://schemas.microsoft.com/office/drawing/2014/main" id="{00000000-0008-0000-0800-0000D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8" name="Text Box 290">
          <a:extLst>
            <a:ext uri="{FF2B5EF4-FFF2-40B4-BE49-F238E27FC236}">
              <a16:creationId xmlns:a16="http://schemas.microsoft.com/office/drawing/2014/main" id="{00000000-0008-0000-0800-0000D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9" name="Text Box 291">
          <a:extLst>
            <a:ext uri="{FF2B5EF4-FFF2-40B4-BE49-F238E27FC236}">
              <a16:creationId xmlns:a16="http://schemas.microsoft.com/office/drawing/2014/main" id="{00000000-0008-0000-0800-0000D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0" name="Text Box 292">
          <a:extLst>
            <a:ext uri="{FF2B5EF4-FFF2-40B4-BE49-F238E27FC236}">
              <a16:creationId xmlns:a16="http://schemas.microsoft.com/office/drawing/2014/main" id="{00000000-0008-0000-0800-0000D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1" name="Text Box 293">
          <a:extLst>
            <a:ext uri="{FF2B5EF4-FFF2-40B4-BE49-F238E27FC236}">
              <a16:creationId xmlns:a16="http://schemas.microsoft.com/office/drawing/2014/main" id="{00000000-0008-0000-0800-0000D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2" name="Text Box 294">
          <a:extLst>
            <a:ext uri="{FF2B5EF4-FFF2-40B4-BE49-F238E27FC236}">
              <a16:creationId xmlns:a16="http://schemas.microsoft.com/office/drawing/2014/main" id="{00000000-0008-0000-0800-0000D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3" name="Text Box 295">
          <a:extLst>
            <a:ext uri="{FF2B5EF4-FFF2-40B4-BE49-F238E27FC236}">
              <a16:creationId xmlns:a16="http://schemas.microsoft.com/office/drawing/2014/main" id="{00000000-0008-0000-0800-0000D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4" name="Text Box 296">
          <a:extLst>
            <a:ext uri="{FF2B5EF4-FFF2-40B4-BE49-F238E27FC236}">
              <a16:creationId xmlns:a16="http://schemas.microsoft.com/office/drawing/2014/main" id="{00000000-0008-0000-0800-0000E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5" name="Text Box 297">
          <a:extLst>
            <a:ext uri="{FF2B5EF4-FFF2-40B4-BE49-F238E27FC236}">
              <a16:creationId xmlns:a16="http://schemas.microsoft.com/office/drawing/2014/main" id="{00000000-0008-0000-0800-0000E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6" name="Text Box 298">
          <a:extLst>
            <a:ext uri="{FF2B5EF4-FFF2-40B4-BE49-F238E27FC236}">
              <a16:creationId xmlns:a16="http://schemas.microsoft.com/office/drawing/2014/main" id="{00000000-0008-0000-0800-0000E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7" name="Text Box 299">
          <a:extLst>
            <a:ext uri="{FF2B5EF4-FFF2-40B4-BE49-F238E27FC236}">
              <a16:creationId xmlns:a16="http://schemas.microsoft.com/office/drawing/2014/main" id="{00000000-0008-0000-0800-0000E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8" name="Text Box 300">
          <a:extLst>
            <a:ext uri="{FF2B5EF4-FFF2-40B4-BE49-F238E27FC236}">
              <a16:creationId xmlns:a16="http://schemas.microsoft.com/office/drawing/2014/main" id="{00000000-0008-0000-0800-0000E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9" name="Text Box 301">
          <a:extLst>
            <a:ext uri="{FF2B5EF4-FFF2-40B4-BE49-F238E27FC236}">
              <a16:creationId xmlns:a16="http://schemas.microsoft.com/office/drawing/2014/main" id="{00000000-0008-0000-0800-0000E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0" name="Text Box 302">
          <a:extLst>
            <a:ext uri="{FF2B5EF4-FFF2-40B4-BE49-F238E27FC236}">
              <a16:creationId xmlns:a16="http://schemas.microsoft.com/office/drawing/2014/main" id="{00000000-0008-0000-0800-0000E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1" name="Text Box 303">
          <a:extLst>
            <a:ext uri="{FF2B5EF4-FFF2-40B4-BE49-F238E27FC236}">
              <a16:creationId xmlns:a16="http://schemas.microsoft.com/office/drawing/2014/main" id="{00000000-0008-0000-0800-0000E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2" name="Text Box 304">
          <a:extLst>
            <a:ext uri="{FF2B5EF4-FFF2-40B4-BE49-F238E27FC236}">
              <a16:creationId xmlns:a16="http://schemas.microsoft.com/office/drawing/2014/main" id="{00000000-0008-0000-0800-0000E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3" name="Text Box 305">
          <a:extLst>
            <a:ext uri="{FF2B5EF4-FFF2-40B4-BE49-F238E27FC236}">
              <a16:creationId xmlns:a16="http://schemas.microsoft.com/office/drawing/2014/main" id="{00000000-0008-0000-0800-0000E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4" name="Text Box 306">
          <a:extLst>
            <a:ext uri="{FF2B5EF4-FFF2-40B4-BE49-F238E27FC236}">
              <a16:creationId xmlns:a16="http://schemas.microsoft.com/office/drawing/2014/main" id="{00000000-0008-0000-0800-0000E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5" name="Text Box 307">
          <a:extLst>
            <a:ext uri="{FF2B5EF4-FFF2-40B4-BE49-F238E27FC236}">
              <a16:creationId xmlns:a16="http://schemas.microsoft.com/office/drawing/2014/main" id="{00000000-0008-0000-0800-0000E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6" name="Text Box 308">
          <a:extLst>
            <a:ext uri="{FF2B5EF4-FFF2-40B4-BE49-F238E27FC236}">
              <a16:creationId xmlns:a16="http://schemas.microsoft.com/office/drawing/2014/main" id="{00000000-0008-0000-0800-0000E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7" name="Text Box 309">
          <a:extLst>
            <a:ext uri="{FF2B5EF4-FFF2-40B4-BE49-F238E27FC236}">
              <a16:creationId xmlns:a16="http://schemas.microsoft.com/office/drawing/2014/main" id="{00000000-0008-0000-0800-0000E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8" name="Text Box 310">
          <a:extLst>
            <a:ext uri="{FF2B5EF4-FFF2-40B4-BE49-F238E27FC236}">
              <a16:creationId xmlns:a16="http://schemas.microsoft.com/office/drawing/2014/main" id="{00000000-0008-0000-0800-0000E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9" name="Text Box 311">
          <a:extLst>
            <a:ext uri="{FF2B5EF4-FFF2-40B4-BE49-F238E27FC236}">
              <a16:creationId xmlns:a16="http://schemas.microsoft.com/office/drawing/2014/main" id="{00000000-0008-0000-0800-0000E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0" name="Text Box 312">
          <a:extLst>
            <a:ext uri="{FF2B5EF4-FFF2-40B4-BE49-F238E27FC236}">
              <a16:creationId xmlns:a16="http://schemas.microsoft.com/office/drawing/2014/main" id="{00000000-0008-0000-0800-0000F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1" name="Text Box 313">
          <a:extLst>
            <a:ext uri="{FF2B5EF4-FFF2-40B4-BE49-F238E27FC236}">
              <a16:creationId xmlns:a16="http://schemas.microsoft.com/office/drawing/2014/main" id="{00000000-0008-0000-0800-0000F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2" name="Text Box 314">
          <a:extLst>
            <a:ext uri="{FF2B5EF4-FFF2-40B4-BE49-F238E27FC236}">
              <a16:creationId xmlns:a16="http://schemas.microsoft.com/office/drawing/2014/main" id="{00000000-0008-0000-0800-0000F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3" name="Text Box 315">
          <a:extLst>
            <a:ext uri="{FF2B5EF4-FFF2-40B4-BE49-F238E27FC236}">
              <a16:creationId xmlns:a16="http://schemas.microsoft.com/office/drawing/2014/main" id="{00000000-0008-0000-0800-0000F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4" name="Text Box 316">
          <a:extLst>
            <a:ext uri="{FF2B5EF4-FFF2-40B4-BE49-F238E27FC236}">
              <a16:creationId xmlns:a16="http://schemas.microsoft.com/office/drawing/2014/main" id="{00000000-0008-0000-0800-0000F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5" name="Text Box 317">
          <a:extLst>
            <a:ext uri="{FF2B5EF4-FFF2-40B4-BE49-F238E27FC236}">
              <a16:creationId xmlns:a16="http://schemas.microsoft.com/office/drawing/2014/main" id="{00000000-0008-0000-0800-0000F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6" name="Text Box 318">
          <a:extLst>
            <a:ext uri="{FF2B5EF4-FFF2-40B4-BE49-F238E27FC236}">
              <a16:creationId xmlns:a16="http://schemas.microsoft.com/office/drawing/2014/main" id="{00000000-0008-0000-0800-0000F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7" name="Text Box 319">
          <a:extLst>
            <a:ext uri="{FF2B5EF4-FFF2-40B4-BE49-F238E27FC236}">
              <a16:creationId xmlns:a16="http://schemas.microsoft.com/office/drawing/2014/main" id="{00000000-0008-0000-0800-0000F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8" name="Text Box 320">
          <a:extLst>
            <a:ext uri="{FF2B5EF4-FFF2-40B4-BE49-F238E27FC236}">
              <a16:creationId xmlns:a16="http://schemas.microsoft.com/office/drawing/2014/main" id="{00000000-0008-0000-0800-0000F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09" name="Text Box 28">
          <a:extLst>
            <a:ext uri="{FF2B5EF4-FFF2-40B4-BE49-F238E27FC236}">
              <a16:creationId xmlns:a16="http://schemas.microsoft.com/office/drawing/2014/main" id="{00000000-0008-0000-0800-0000F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0" name="Text Box 29">
          <a:extLst>
            <a:ext uri="{FF2B5EF4-FFF2-40B4-BE49-F238E27FC236}">
              <a16:creationId xmlns:a16="http://schemas.microsoft.com/office/drawing/2014/main" id="{00000000-0008-0000-0800-0000F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1" name="Text Box 30">
          <a:extLst>
            <a:ext uri="{FF2B5EF4-FFF2-40B4-BE49-F238E27FC236}">
              <a16:creationId xmlns:a16="http://schemas.microsoft.com/office/drawing/2014/main" id="{00000000-0008-0000-0800-0000F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2" name="Text Box 31">
          <a:extLst>
            <a:ext uri="{FF2B5EF4-FFF2-40B4-BE49-F238E27FC236}">
              <a16:creationId xmlns:a16="http://schemas.microsoft.com/office/drawing/2014/main" id="{00000000-0008-0000-0800-0000F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3" name="Text Box 32">
          <a:extLst>
            <a:ext uri="{FF2B5EF4-FFF2-40B4-BE49-F238E27FC236}">
              <a16:creationId xmlns:a16="http://schemas.microsoft.com/office/drawing/2014/main" id="{00000000-0008-0000-0800-0000F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4" name="Text Box 33">
          <a:extLst>
            <a:ext uri="{FF2B5EF4-FFF2-40B4-BE49-F238E27FC236}">
              <a16:creationId xmlns:a16="http://schemas.microsoft.com/office/drawing/2014/main" id="{00000000-0008-0000-0800-0000F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5" name="Text Box 34">
          <a:extLst>
            <a:ext uri="{FF2B5EF4-FFF2-40B4-BE49-F238E27FC236}">
              <a16:creationId xmlns:a16="http://schemas.microsoft.com/office/drawing/2014/main" id="{00000000-0008-0000-0800-0000F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6" name="Text Box 35">
          <a:extLst>
            <a:ext uri="{FF2B5EF4-FFF2-40B4-BE49-F238E27FC236}">
              <a16:creationId xmlns:a16="http://schemas.microsoft.com/office/drawing/2014/main" id="{00000000-0008-0000-0800-00000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7" name="Text Box 36">
          <a:extLst>
            <a:ext uri="{FF2B5EF4-FFF2-40B4-BE49-F238E27FC236}">
              <a16:creationId xmlns:a16="http://schemas.microsoft.com/office/drawing/2014/main" id="{00000000-0008-0000-0800-00000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8" name="Text Box 37">
          <a:extLst>
            <a:ext uri="{FF2B5EF4-FFF2-40B4-BE49-F238E27FC236}">
              <a16:creationId xmlns:a16="http://schemas.microsoft.com/office/drawing/2014/main" id="{00000000-0008-0000-0800-00000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9" name="Text Box 38">
          <a:extLst>
            <a:ext uri="{FF2B5EF4-FFF2-40B4-BE49-F238E27FC236}">
              <a16:creationId xmlns:a16="http://schemas.microsoft.com/office/drawing/2014/main" id="{00000000-0008-0000-0800-00000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0" name="Text Box 39">
          <a:extLst>
            <a:ext uri="{FF2B5EF4-FFF2-40B4-BE49-F238E27FC236}">
              <a16:creationId xmlns:a16="http://schemas.microsoft.com/office/drawing/2014/main" id="{00000000-0008-0000-0800-00000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1" name="Text Box 40">
          <a:extLst>
            <a:ext uri="{FF2B5EF4-FFF2-40B4-BE49-F238E27FC236}">
              <a16:creationId xmlns:a16="http://schemas.microsoft.com/office/drawing/2014/main" id="{00000000-0008-0000-0800-00000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2" name="Text Box 41">
          <a:extLst>
            <a:ext uri="{FF2B5EF4-FFF2-40B4-BE49-F238E27FC236}">
              <a16:creationId xmlns:a16="http://schemas.microsoft.com/office/drawing/2014/main" id="{00000000-0008-0000-0800-00000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3" name="Text Box 42">
          <a:extLst>
            <a:ext uri="{FF2B5EF4-FFF2-40B4-BE49-F238E27FC236}">
              <a16:creationId xmlns:a16="http://schemas.microsoft.com/office/drawing/2014/main" id="{00000000-0008-0000-0800-00000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4" name="Text Box 43">
          <a:extLst>
            <a:ext uri="{FF2B5EF4-FFF2-40B4-BE49-F238E27FC236}">
              <a16:creationId xmlns:a16="http://schemas.microsoft.com/office/drawing/2014/main" id="{00000000-0008-0000-0800-00000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5" name="Text Box 44">
          <a:extLst>
            <a:ext uri="{FF2B5EF4-FFF2-40B4-BE49-F238E27FC236}">
              <a16:creationId xmlns:a16="http://schemas.microsoft.com/office/drawing/2014/main" id="{00000000-0008-0000-0800-00000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6" name="Text Box 45">
          <a:extLst>
            <a:ext uri="{FF2B5EF4-FFF2-40B4-BE49-F238E27FC236}">
              <a16:creationId xmlns:a16="http://schemas.microsoft.com/office/drawing/2014/main" id="{00000000-0008-0000-0800-00000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7" name="Text Box 46">
          <a:extLst>
            <a:ext uri="{FF2B5EF4-FFF2-40B4-BE49-F238E27FC236}">
              <a16:creationId xmlns:a16="http://schemas.microsoft.com/office/drawing/2014/main" id="{00000000-0008-0000-0800-00000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8" name="Text Box 47">
          <a:extLst>
            <a:ext uri="{FF2B5EF4-FFF2-40B4-BE49-F238E27FC236}">
              <a16:creationId xmlns:a16="http://schemas.microsoft.com/office/drawing/2014/main" id="{00000000-0008-0000-0800-00000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9" name="Text Box 48">
          <a:extLst>
            <a:ext uri="{FF2B5EF4-FFF2-40B4-BE49-F238E27FC236}">
              <a16:creationId xmlns:a16="http://schemas.microsoft.com/office/drawing/2014/main" id="{00000000-0008-0000-0800-00000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0" name="Text Box 49">
          <a:extLst>
            <a:ext uri="{FF2B5EF4-FFF2-40B4-BE49-F238E27FC236}">
              <a16:creationId xmlns:a16="http://schemas.microsoft.com/office/drawing/2014/main" id="{00000000-0008-0000-0800-00000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1" name="Text Box 50">
          <a:extLst>
            <a:ext uri="{FF2B5EF4-FFF2-40B4-BE49-F238E27FC236}">
              <a16:creationId xmlns:a16="http://schemas.microsoft.com/office/drawing/2014/main" id="{00000000-0008-0000-0800-00000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2" name="Text Box 51">
          <a:extLst>
            <a:ext uri="{FF2B5EF4-FFF2-40B4-BE49-F238E27FC236}">
              <a16:creationId xmlns:a16="http://schemas.microsoft.com/office/drawing/2014/main" id="{00000000-0008-0000-0800-00001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3" name="Text Box 52">
          <a:extLst>
            <a:ext uri="{FF2B5EF4-FFF2-40B4-BE49-F238E27FC236}">
              <a16:creationId xmlns:a16="http://schemas.microsoft.com/office/drawing/2014/main" id="{00000000-0008-0000-0800-00001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4" name="Text Box 53">
          <a:extLst>
            <a:ext uri="{FF2B5EF4-FFF2-40B4-BE49-F238E27FC236}">
              <a16:creationId xmlns:a16="http://schemas.microsoft.com/office/drawing/2014/main" id="{00000000-0008-0000-0800-00001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5" name="Text Box 54">
          <a:extLst>
            <a:ext uri="{FF2B5EF4-FFF2-40B4-BE49-F238E27FC236}">
              <a16:creationId xmlns:a16="http://schemas.microsoft.com/office/drawing/2014/main" id="{00000000-0008-0000-0800-00001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6" name="Text Box 55">
          <a:extLst>
            <a:ext uri="{FF2B5EF4-FFF2-40B4-BE49-F238E27FC236}">
              <a16:creationId xmlns:a16="http://schemas.microsoft.com/office/drawing/2014/main" id="{00000000-0008-0000-0800-00001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7" name="Text Box 56">
          <a:extLst>
            <a:ext uri="{FF2B5EF4-FFF2-40B4-BE49-F238E27FC236}">
              <a16:creationId xmlns:a16="http://schemas.microsoft.com/office/drawing/2014/main" id="{00000000-0008-0000-0800-00001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8" name="Text Box 57">
          <a:extLst>
            <a:ext uri="{FF2B5EF4-FFF2-40B4-BE49-F238E27FC236}">
              <a16:creationId xmlns:a16="http://schemas.microsoft.com/office/drawing/2014/main" id="{00000000-0008-0000-0800-00001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9" name="Text Box 58">
          <a:extLst>
            <a:ext uri="{FF2B5EF4-FFF2-40B4-BE49-F238E27FC236}">
              <a16:creationId xmlns:a16="http://schemas.microsoft.com/office/drawing/2014/main" id="{00000000-0008-0000-0800-00001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0" name="Text Box 59">
          <a:extLst>
            <a:ext uri="{FF2B5EF4-FFF2-40B4-BE49-F238E27FC236}">
              <a16:creationId xmlns:a16="http://schemas.microsoft.com/office/drawing/2014/main" id="{00000000-0008-0000-0800-00001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1" name="Text Box 60">
          <a:extLst>
            <a:ext uri="{FF2B5EF4-FFF2-40B4-BE49-F238E27FC236}">
              <a16:creationId xmlns:a16="http://schemas.microsoft.com/office/drawing/2014/main" id="{00000000-0008-0000-0800-00001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2" name="Text Box 61">
          <a:extLst>
            <a:ext uri="{FF2B5EF4-FFF2-40B4-BE49-F238E27FC236}">
              <a16:creationId xmlns:a16="http://schemas.microsoft.com/office/drawing/2014/main" id="{00000000-0008-0000-0800-00001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3" name="Text Box 62">
          <a:extLst>
            <a:ext uri="{FF2B5EF4-FFF2-40B4-BE49-F238E27FC236}">
              <a16:creationId xmlns:a16="http://schemas.microsoft.com/office/drawing/2014/main" id="{00000000-0008-0000-0800-00001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4" name="Text Box 63">
          <a:extLst>
            <a:ext uri="{FF2B5EF4-FFF2-40B4-BE49-F238E27FC236}">
              <a16:creationId xmlns:a16="http://schemas.microsoft.com/office/drawing/2014/main" id="{00000000-0008-0000-0800-00001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5" name="Text Box 64">
          <a:extLst>
            <a:ext uri="{FF2B5EF4-FFF2-40B4-BE49-F238E27FC236}">
              <a16:creationId xmlns:a16="http://schemas.microsoft.com/office/drawing/2014/main" id="{00000000-0008-0000-0800-00001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6" name="Text Box 65">
          <a:extLst>
            <a:ext uri="{FF2B5EF4-FFF2-40B4-BE49-F238E27FC236}">
              <a16:creationId xmlns:a16="http://schemas.microsoft.com/office/drawing/2014/main" id="{00000000-0008-0000-0800-00001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7" name="Text Box 66">
          <a:extLst>
            <a:ext uri="{FF2B5EF4-FFF2-40B4-BE49-F238E27FC236}">
              <a16:creationId xmlns:a16="http://schemas.microsoft.com/office/drawing/2014/main" id="{00000000-0008-0000-0800-00001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8" name="Text Box 67">
          <a:extLst>
            <a:ext uri="{FF2B5EF4-FFF2-40B4-BE49-F238E27FC236}">
              <a16:creationId xmlns:a16="http://schemas.microsoft.com/office/drawing/2014/main" id="{00000000-0008-0000-0800-00002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9" name="Text Box 68">
          <a:extLst>
            <a:ext uri="{FF2B5EF4-FFF2-40B4-BE49-F238E27FC236}">
              <a16:creationId xmlns:a16="http://schemas.microsoft.com/office/drawing/2014/main" id="{00000000-0008-0000-0800-00002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0" name="Text Box 69">
          <a:extLst>
            <a:ext uri="{FF2B5EF4-FFF2-40B4-BE49-F238E27FC236}">
              <a16:creationId xmlns:a16="http://schemas.microsoft.com/office/drawing/2014/main" id="{00000000-0008-0000-0800-00002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1" name="Text Box 70">
          <a:extLst>
            <a:ext uri="{FF2B5EF4-FFF2-40B4-BE49-F238E27FC236}">
              <a16:creationId xmlns:a16="http://schemas.microsoft.com/office/drawing/2014/main" id="{00000000-0008-0000-0800-00002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2" name="Text Box 71">
          <a:extLst>
            <a:ext uri="{FF2B5EF4-FFF2-40B4-BE49-F238E27FC236}">
              <a16:creationId xmlns:a16="http://schemas.microsoft.com/office/drawing/2014/main" id="{00000000-0008-0000-0800-00002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3" name="Text Box 72">
          <a:extLst>
            <a:ext uri="{FF2B5EF4-FFF2-40B4-BE49-F238E27FC236}">
              <a16:creationId xmlns:a16="http://schemas.microsoft.com/office/drawing/2014/main" id="{00000000-0008-0000-0800-00002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4" name="Text Box 73">
          <a:extLst>
            <a:ext uri="{FF2B5EF4-FFF2-40B4-BE49-F238E27FC236}">
              <a16:creationId xmlns:a16="http://schemas.microsoft.com/office/drawing/2014/main" id="{00000000-0008-0000-0800-00002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5" name="Text Box 74">
          <a:extLst>
            <a:ext uri="{FF2B5EF4-FFF2-40B4-BE49-F238E27FC236}">
              <a16:creationId xmlns:a16="http://schemas.microsoft.com/office/drawing/2014/main" id="{00000000-0008-0000-0800-00002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6" name="Text Box 75">
          <a:extLst>
            <a:ext uri="{FF2B5EF4-FFF2-40B4-BE49-F238E27FC236}">
              <a16:creationId xmlns:a16="http://schemas.microsoft.com/office/drawing/2014/main" id="{00000000-0008-0000-0800-00002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7" name="Text Box 76">
          <a:extLst>
            <a:ext uri="{FF2B5EF4-FFF2-40B4-BE49-F238E27FC236}">
              <a16:creationId xmlns:a16="http://schemas.microsoft.com/office/drawing/2014/main" id="{00000000-0008-0000-0800-00002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8" name="Text Box 77">
          <a:extLst>
            <a:ext uri="{FF2B5EF4-FFF2-40B4-BE49-F238E27FC236}">
              <a16:creationId xmlns:a16="http://schemas.microsoft.com/office/drawing/2014/main" id="{00000000-0008-0000-0800-00002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9" name="Text Box 78">
          <a:extLst>
            <a:ext uri="{FF2B5EF4-FFF2-40B4-BE49-F238E27FC236}">
              <a16:creationId xmlns:a16="http://schemas.microsoft.com/office/drawing/2014/main" id="{00000000-0008-0000-0800-00002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0" name="Text Box 79">
          <a:extLst>
            <a:ext uri="{FF2B5EF4-FFF2-40B4-BE49-F238E27FC236}">
              <a16:creationId xmlns:a16="http://schemas.microsoft.com/office/drawing/2014/main" id="{00000000-0008-0000-0800-00002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1" name="Text Box 80">
          <a:extLst>
            <a:ext uri="{FF2B5EF4-FFF2-40B4-BE49-F238E27FC236}">
              <a16:creationId xmlns:a16="http://schemas.microsoft.com/office/drawing/2014/main" id="{00000000-0008-0000-0800-00002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2" name="Text Box 81">
          <a:extLst>
            <a:ext uri="{FF2B5EF4-FFF2-40B4-BE49-F238E27FC236}">
              <a16:creationId xmlns:a16="http://schemas.microsoft.com/office/drawing/2014/main" id="{00000000-0008-0000-0800-00002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3" name="Text Box 82">
          <a:extLst>
            <a:ext uri="{FF2B5EF4-FFF2-40B4-BE49-F238E27FC236}">
              <a16:creationId xmlns:a16="http://schemas.microsoft.com/office/drawing/2014/main" id="{00000000-0008-0000-0800-00002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4" name="Text Box 83">
          <a:extLst>
            <a:ext uri="{FF2B5EF4-FFF2-40B4-BE49-F238E27FC236}">
              <a16:creationId xmlns:a16="http://schemas.microsoft.com/office/drawing/2014/main" id="{00000000-0008-0000-0800-00003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5" name="Text Box 84">
          <a:extLst>
            <a:ext uri="{FF2B5EF4-FFF2-40B4-BE49-F238E27FC236}">
              <a16:creationId xmlns:a16="http://schemas.microsoft.com/office/drawing/2014/main" id="{00000000-0008-0000-0800-00003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6" name="Text Box 85">
          <a:extLst>
            <a:ext uri="{FF2B5EF4-FFF2-40B4-BE49-F238E27FC236}">
              <a16:creationId xmlns:a16="http://schemas.microsoft.com/office/drawing/2014/main" id="{00000000-0008-0000-0800-00003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7" name="Text Box 86">
          <a:extLst>
            <a:ext uri="{FF2B5EF4-FFF2-40B4-BE49-F238E27FC236}">
              <a16:creationId xmlns:a16="http://schemas.microsoft.com/office/drawing/2014/main" id="{00000000-0008-0000-0800-00003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8" name="Text Box 87">
          <a:extLst>
            <a:ext uri="{FF2B5EF4-FFF2-40B4-BE49-F238E27FC236}">
              <a16:creationId xmlns:a16="http://schemas.microsoft.com/office/drawing/2014/main" id="{00000000-0008-0000-0800-00003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9" name="Text Box 88">
          <a:extLst>
            <a:ext uri="{FF2B5EF4-FFF2-40B4-BE49-F238E27FC236}">
              <a16:creationId xmlns:a16="http://schemas.microsoft.com/office/drawing/2014/main" id="{00000000-0008-0000-0800-00003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0" name="Text Box 89">
          <a:extLst>
            <a:ext uri="{FF2B5EF4-FFF2-40B4-BE49-F238E27FC236}">
              <a16:creationId xmlns:a16="http://schemas.microsoft.com/office/drawing/2014/main" id="{00000000-0008-0000-0800-00003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1" name="Text Box 90">
          <a:extLst>
            <a:ext uri="{FF2B5EF4-FFF2-40B4-BE49-F238E27FC236}">
              <a16:creationId xmlns:a16="http://schemas.microsoft.com/office/drawing/2014/main" id="{00000000-0008-0000-0800-00003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2" name="Text Box 91">
          <a:extLst>
            <a:ext uri="{FF2B5EF4-FFF2-40B4-BE49-F238E27FC236}">
              <a16:creationId xmlns:a16="http://schemas.microsoft.com/office/drawing/2014/main" id="{00000000-0008-0000-0800-00003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3" name="Text Box 92">
          <a:extLst>
            <a:ext uri="{FF2B5EF4-FFF2-40B4-BE49-F238E27FC236}">
              <a16:creationId xmlns:a16="http://schemas.microsoft.com/office/drawing/2014/main" id="{00000000-0008-0000-0800-00003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4" name="Text Box 93">
          <a:extLst>
            <a:ext uri="{FF2B5EF4-FFF2-40B4-BE49-F238E27FC236}">
              <a16:creationId xmlns:a16="http://schemas.microsoft.com/office/drawing/2014/main" id="{00000000-0008-0000-0800-00003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5" name="Text Box 94">
          <a:extLst>
            <a:ext uri="{FF2B5EF4-FFF2-40B4-BE49-F238E27FC236}">
              <a16:creationId xmlns:a16="http://schemas.microsoft.com/office/drawing/2014/main" id="{00000000-0008-0000-0800-00003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6" name="Text Box 95">
          <a:extLst>
            <a:ext uri="{FF2B5EF4-FFF2-40B4-BE49-F238E27FC236}">
              <a16:creationId xmlns:a16="http://schemas.microsoft.com/office/drawing/2014/main" id="{00000000-0008-0000-0800-00003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7" name="Text Box 96">
          <a:extLst>
            <a:ext uri="{FF2B5EF4-FFF2-40B4-BE49-F238E27FC236}">
              <a16:creationId xmlns:a16="http://schemas.microsoft.com/office/drawing/2014/main" id="{00000000-0008-0000-0800-00003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8" name="Text Box 97">
          <a:extLst>
            <a:ext uri="{FF2B5EF4-FFF2-40B4-BE49-F238E27FC236}">
              <a16:creationId xmlns:a16="http://schemas.microsoft.com/office/drawing/2014/main" id="{00000000-0008-0000-0800-00003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79" name="Text Box 100">
          <a:extLst>
            <a:ext uri="{FF2B5EF4-FFF2-40B4-BE49-F238E27FC236}">
              <a16:creationId xmlns:a16="http://schemas.microsoft.com/office/drawing/2014/main" id="{00000000-0008-0000-0800-00003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0" name="Text Box 101">
          <a:extLst>
            <a:ext uri="{FF2B5EF4-FFF2-40B4-BE49-F238E27FC236}">
              <a16:creationId xmlns:a16="http://schemas.microsoft.com/office/drawing/2014/main" id="{00000000-0008-0000-0800-00004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1" name="Text Box 102">
          <a:extLst>
            <a:ext uri="{FF2B5EF4-FFF2-40B4-BE49-F238E27FC236}">
              <a16:creationId xmlns:a16="http://schemas.microsoft.com/office/drawing/2014/main" id="{00000000-0008-0000-0800-00004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2" name="Text Box 103">
          <a:extLst>
            <a:ext uri="{FF2B5EF4-FFF2-40B4-BE49-F238E27FC236}">
              <a16:creationId xmlns:a16="http://schemas.microsoft.com/office/drawing/2014/main" id="{00000000-0008-0000-0800-00004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3" name="Text Box 104">
          <a:extLst>
            <a:ext uri="{FF2B5EF4-FFF2-40B4-BE49-F238E27FC236}">
              <a16:creationId xmlns:a16="http://schemas.microsoft.com/office/drawing/2014/main" id="{00000000-0008-0000-0800-00004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4" name="Text Box 105">
          <a:extLst>
            <a:ext uri="{FF2B5EF4-FFF2-40B4-BE49-F238E27FC236}">
              <a16:creationId xmlns:a16="http://schemas.microsoft.com/office/drawing/2014/main" id="{00000000-0008-0000-0800-00004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5" name="Text Box 106">
          <a:extLst>
            <a:ext uri="{FF2B5EF4-FFF2-40B4-BE49-F238E27FC236}">
              <a16:creationId xmlns:a16="http://schemas.microsoft.com/office/drawing/2014/main" id="{00000000-0008-0000-0800-00004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6" name="Text Box 107">
          <a:extLst>
            <a:ext uri="{FF2B5EF4-FFF2-40B4-BE49-F238E27FC236}">
              <a16:creationId xmlns:a16="http://schemas.microsoft.com/office/drawing/2014/main" id="{00000000-0008-0000-0800-00004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7" name="Text Box 108">
          <a:extLst>
            <a:ext uri="{FF2B5EF4-FFF2-40B4-BE49-F238E27FC236}">
              <a16:creationId xmlns:a16="http://schemas.microsoft.com/office/drawing/2014/main" id="{00000000-0008-0000-0800-00004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8" name="Text Box 109">
          <a:extLst>
            <a:ext uri="{FF2B5EF4-FFF2-40B4-BE49-F238E27FC236}">
              <a16:creationId xmlns:a16="http://schemas.microsoft.com/office/drawing/2014/main" id="{00000000-0008-0000-0800-00004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9" name="Text Box 110">
          <a:extLst>
            <a:ext uri="{FF2B5EF4-FFF2-40B4-BE49-F238E27FC236}">
              <a16:creationId xmlns:a16="http://schemas.microsoft.com/office/drawing/2014/main" id="{00000000-0008-0000-0800-00004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0" name="Text Box 111">
          <a:extLst>
            <a:ext uri="{FF2B5EF4-FFF2-40B4-BE49-F238E27FC236}">
              <a16:creationId xmlns:a16="http://schemas.microsoft.com/office/drawing/2014/main" id="{00000000-0008-0000-0800-00004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1" name="Text Box 119">
          <a:extLst>
            <a:ext uri="{FF2B5EF4-FFF2-40B4-BE49-F238E27FC236}">
              <a16:creationId xmlns:a16="http://schemas.microsoft.com/office/drawing/2014/main" id="{00000000-0008-0000-0800-00004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2" name="Text Box 120">
          <a:extLst>
            <a:ext uri="{FF2B5EF4-FFF2-40B4-BE49-F238E27FC236}">
              <a16:creationId xmlns:a16="http://schemas.microsoft.com/office/drawing/2014/main" id="{00000000-0008-0000-0800-00004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3" name="Text Box 121">
          <a:extLst>
            <a:ext uri="{FF2B5EF4-FFF2-40B4-BE49-F238E27FC236}">
              <a16:creationId xmlns:a16="http://schemas.microsoft.com/office/drawing/2014/main" id="{00000000-0008-0000-0800-00004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4" name="Text Box 122">
          <a:extLst>
            <a:ext uri="{FF2B5EF4-FFF2-40B4-BE49-F238E27FC236}">
              <a16:creationId xmlns:a16="http://schemas.microsoft.com/office/drawing/2014/main" id="{00000000-0008-0000-0800-00004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5" name="Text Box 123">
          <a:extLst>
            <a:ext uri="{FF2B5EF4-FFF2-40B4-BE49-F238E27FC236}">
              <a16:creationId xmlns:a16="http://schemas.microsoft.com/office/drawing/2014/main" id="{00000000-0008-0000-0800-00004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6" name="Text Box 124">
          <a:extLst>
            <a:ext uri="{FF2B5EF4-FFF2-40B4-BE49-F238E27FC236}">
              <a16:creationId xmlns:a16="http://schemas.microsoft.com/office/drawing/2014/main" id="{00000000-0008-0000-0800-00005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7" name="Text Box 125">
          <a:extLst>
            <a:ext uri="{FF2B5EF4-FFF2-40B4-BE49-F238E27FC236}">
              <a16:creationId xmlns:a16="http://schemas.microsoft.com/office/drawing/2014/main" id="{00000000-0008-0000-0800-00005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8" name="Text Box 126">
          <a:extLst>
            <a:ext uri="{FF2B5EF4-FFF2-40B4-BE49-F238E27FC236}">
              <a16:creationId xmlns:a16="http://schemas.microsoft.com/office/drawing/2014/main" id="{00000000-0008-0000-0800-00005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9" name="Text Box 127">
          <a:extLst>
            <a:ext uri="{FF2B5EF4-FFF2-40B4-BE49-F238E27FC236}">
              <a16:creationId xmlns:a16="http://schemas.microsoft.com/office/drawing/2014/main" id="{00000000-0008-0000-0800-00005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0" name="Text Box 128">
          <a:extLst>
            <a:ext uri="{FF2B5EF4-FFF2-40B4-BE49-F238E27FC236}">
              <a16:creationId xmlns:a16="http://schemas.microsoft.com/office/drawing/2014/main" id="{00000000-0008-0000-0800-00005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1" name="Text Box 129">
          <a:extLst>
            <a:ext uri="{FF2B5EF4-FFF2-40B4-BE49-F238E27FC236}">
              <a16:creationId xmlns:a16="http://schemas.microsoft.com/office/drawing/2014/main" id="{00000000-0008-0000-0800-00005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2" name="Text Box 130">
          <a:extLst>
            <a:ext uri="{FF2B5EF4-FFF2-40B4-BE49-F238E27FC236}">
              <a16:creationId xmlns:a16="http://schemas.microsoft.com/office/drawing/2014/main" id="{00000000-0008-0000-0800-00005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3" name="Text Box 133">
          <a:extLst>
            <a:ext uri="{FF2B5EF4-FFF2-40B4-BE49-F238E27FC236}">
              <a16:creationId xmlns:a16="http://schemas.microsoft.com/office/drawing/2014/main" id="{00000000-0008-0000-0800-00005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4" name="Text Box 134">
          <a:extLst>
            <a:ext uri="{FF2B5EF4-FFF2-40B4-BE49-F238E27FC236}">
              <a16:creationId xmlns:a16="http://schemas.microsoft.com/office/drawing/2014/main" id="{00000000-0008-0000-0800-00005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5" name="Text Box 135">
          <a:extLst>
            <a:ext uri="{FF2B5EF4-FFF2-40B4-BE49-F238E27FC236}">
              <a16:creationId xmlns:a16="http://schemas.microsoft.com/office/drawing/2014/main" id="{00000000-0008-0000-0800-00005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6" name="Text Box 136">
          <a:extLst>
            <a:ext uri="{FF2B5EF4-FFF2-40B4-BE49-F238E27FC236}">
              <a16:creationId xmlns:a16="http://schemas.microsoft.com/office/drawing/2014/main" id="{00000000-0008-0000-0800-00005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7" name="Text Box 137">
          <a:extLst>
            <a:ext uri="{FF2B5EF4-FFF2-40B4-BE49-F238E27FC236}">
              <a16:creationId xmlns:a16="http://schemas.microsoft.com/office/drawing/2014/main" id="{00000000-0008-0000-0800-00005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8" name="Text Box 138">
          <a:extLst>
            <a:ext uri="{FF2B5EF4-FFF2-40B4-BE49-F238E27FC236}">
              <a16:creationId xmlns:a16="http://schemas.microsoft.com/office/drawing/2014/main" id="{00000000-0008-0000-0800-00005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9" name="Text Box 139">
          <a:extLst>
            <a:ext uri="{FF2B5EF4-FFF2-40B4-BE49-F238E27FC236}">
              <a16:creationId xmlns:a16="http://schemas.microsoft.com/office/drawing/2014/main" id="{00000000-0008-0000-0800-00005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0" name="Text Box 140">
          <a:extLst>
            <a:ext uri="{FF2B5EF4-FFF2-40B4-BE49-F238E27FC236}">
              <a16:creationId xmlns:a16="http://schemas.microsoft.com/office/drawing/2014/main" id="{00000000-0008-0000-0800-00005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1" name="Text Box 141">
          <a:extLst>
            <a:ext uri="{FF2B5EF4-FFF2-40B4-BE49-F238E27FC236}">
              <a16:creationId xmlns:a16="http://schemas.microsoft.com/office/drawing/2014/main" id="{00000000-0008-0000-0800-00005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2" name="Text Box 142">
          <a:extLst>
            <a:ext uri="{FF2B5EF4-FFF2-40B4-BE49-F238E27FC236}">
              <a16:creationId xmlns:a16="http://schemas.microsoft.com/office/drawing/2014/main" id="{00000000-0008-0000-0800-00006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3" name="Text Box 143">
          <a:extLst>
            <a:ext uri="{FF2B5EF4-FFF2-40B4-BE49-F238E27FC236}">
              <a16:creationId xmlns:a16="http://schemas.microsoft.com/office/drawing/2014/main" id="{00000000-0008-0000-0800-00006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4" name="Text Box 144">
          <a:extLst>
            <a:ext uri="{FF2B5EF4-FFF2-40B4-BE49-F238E27FC236}">
              <a16:creationId xmlns:a16="http://schemas.microsoft.com/office/drawing/2014/main" id="{00000000-0008-0000-0800-00006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5" name="Text Box 145">
          <a:extLst>
            <a:ext uri="{FF2B5EF4-FFF2-40B4-BE49-F238E27FC236}">
              <a16:creationId xmlns:a16="http://schemas.microsoft.com/office/drawing/2014/main" id="{00000000-0008-0000-0800-00006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6" name="Text Box 146">
          <a:extLst>
            <a:ext uri="{FF2B5EF4-FFF2-40B4-BE49-F238E27FC236}">
              <a16:creationId xmlns:a16="http://schemas.microsoft.com/office/drawing/2014/main" id="{00000000-0008-0000-0800-00006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7" name="Text Box 147">
          <a:extLst>
            <a:ext uri="{FF2B5EF4-FFF2-40B4-BE49-F238E27FC236}">
              <a16:creationId xmlns:a16="http://schemas.microsoft.com/office/drawing/2014/main" id="{00000000-0008-0000-0800-00006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8" name="Text Box 148">
          <a:extLst>
            <a:ext uri="{FF2B5EF4-FFF2-40B4-BE49-F238E27FC236}">
              <a16:creationId xmlns:a16="http://schemas.microsoft.com/office/drawing/2014/main" id="{00000000-0008-0000-0800-00006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9" name="Text Box 149">
          <a:extLst>
            <a:ext uri="{FF2B5EF4-FFF2-40B4-BE49-F238E27FC236}">
              <a16:creationId xmlns:a16="http://schemas.microsoft.com/office/drawing/2014/main" id="{00000000-0008-0000-0800-00006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0" name="Text Box 150">
          <a:extLst>
            <a:ext uri="{FF2B5EF4-FFF2-40B4-BE49-F238E27FC236}">
              <a16:creationId xmlns:a16="http://schemas.microsoft.com/office/drawing/2014/main" id="{00000000-0008-0000-0800-00006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1" name="Text Box 151">
          <a:extLst>
            <a:ext uri="{FF2B5EF4-FFF2-40B4-BE49-F238E27FC236}">
              <a16:creationId xmlns:a16="http://schemas.microsoft.com/office/drawing/2014/main" id="{00000000-0008-0000-0800-00006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2" name="Text Box 152">
          <a:extLst>
            <a:ext uri="{FF2B5EF4-FFF2-40B4-BE49-F238E27FC236}">
              <a16:creationId xmlns:a16="http://schemas.microsoft.com/office/drawing/2014/main" id="{00000000-0008-0000-0800-00006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3" name="Text Box 153">
          <a:extLst>
            <a:ext uri="{FF2B5EF4-FFF2-40B4-BE49-F238E27FC236}">
              <a16:creationId xmlns:a16="http://schemas.microsoft.com/office/drawing/2014/main" id="{00000000-0008-0000-0800-00006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4" name="Text Box 154">
          <a:extLst>
            <a:ext uri="{FF2B5EF4-FFF2-40B4-BE49-F238E27FC236}">
              <a16:creationId xmlns:a16="http://schemas.microsoft.com/office/drawing/2014/main" id="{00000000-0008-0000-0800-00006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5" name="Text Box 155">
          <a:extLst>
            <a:ext uri="{FF2B5EF4-FFF2-40B4-BE49-F238E27FC236}">
              <a16:creationId xmlns:a16="http://schemas.microsoft.com/office/drawing/2014/main" id="{00000000-0008-0000-0800-00006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6" name="Text Box 156">
          <a:extLst>
            <a:ext uri="{FF2B5EF4-FFF2-40B4-BE49-F238E27FC236}">
              <a16:creationId xmlns:a16="http://schemas.microsoft.com/office/drawing/2014/main" id="{00000000-0008-0000-0800-00006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7" name="Text Box 157">
          <a:extLst>
            <a:ext uri="{FF2B5EF4-FFF2-40B4-BE49-F238E27FC236}">
              <a16:creationId xmlns:a16="http://schemas.microsoft.com/office/drawing/2014/main" id="{00000000-0008-0000-0800-00006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8" name="Text Box 158">
          <a:extLst>
            <a:ext uri="{FF2B5EF4-FFF2-40B4-BE49-F238E27FC236}">
              <a16:creationId xmlns:a16="http://schemas.microsoft.com/office/drawing/2014/main" id="{00000000-0008-0000-0800-00007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9" name="Text Box 159">
          <a:extLst>
            <a:ext uri="{FF2B5EF4-FFF2-40B4-BE49-F238E27FC236}">
              <a16:creationId xmlns:a16="http://schemas.microsoft.com/office/drawing/2014/main" id="{00000000-0008-0000-0800-00007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0" name="Text Box 160">
          <a:extLst>
            <a:ext uri="{FF2B5EF4-FFF2-40B4-BE49-F238E27FC236}">
              <a16:creationId xmlns:a16="http://schemas.microsoft.com/office/drawing/2014/main" id="{00000000-0008-0000-0800-00007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1" name="Text Box 161">
          <a:extLst>
            <a:ext uri="{FF2B5EF4-FFF2-40B4-BE49-F238E27FC236}">
              <a16:creationId xmlns:a16="http://schemas.microsoft.com/office/drawing/2014/main" id="{00000000-0008-0000-0800-00007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2" name="Text Box 162">
          <a:extLst>
            <a:ext uri="{FF2B5EF4-FFF2-40B4-BE49-F238E27FC236}">
              <a16:creationId xmlns:a16="http://schemas.microsoft.com/office/drawing/2014/main" id="{00000000-0008-0000-0800-00007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3" name="Text Box 163">
          <a:extLst>
            <a:ext uri="{FF2B5EF4-FFF2-40B4-BE49-F238E27FC236}">
              <a16:creationId xmlns:a16="http://schemas.microsoft.com/office/drawing/2014/main" id="{00000000-0008-0000-0800-00007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4" name="Text Box 164">
          <a:extLst>
            <a:ext uri="{FF2B5EF4-FFF2-40B4-BE49-F238E27FC236}">
              <a16:creationId xmlns:a16="http://schemas.microsoft.com/office/drawing/2014/main" id="{00000000-0008-0000-0800-00007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5" name="Text Box 165">
          <a:extLst>
            <a:ext uri="{FF2B5EF4-FFF2-40B4-BE49-F238E27FC236}">
              <a16:creationId xmlns:a16="http://schemas.microsoft.com/office/drawing/2014/main" id="{00000000-0008-0000-0800-00007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6" name="Text Box 166">
          <a:extLst>
            <a:ext uri="{FF2B5EF4-FFF2-40B4-BE49-F238E27FC236}">
              <a16:creationId xmlns:a16="http://schemas.microsoft.com/office/drawing/2014/main" id="{00000000-0008-0000-0800-00007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7" name="Text Box 167">
          <a:extLst>
            <a:ext uri="{FF2B5EF4-FFF2-40B4-BE49-F238E27FC236}">
              <a16:creationId xmlns:a16="http://schemas.microsoft.com/office/drawing/2014/main" id="{00000000-0008-0000-0800-00007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8" name="Text Box 168">
          <a:extLst>
            <a:ext uri="{FF2B5EF4-FFF2-40B4-BE49-F238E27FC236}">
              <a16:creationId xmlns:a16="http://schemas.microsoft.com/office/drawing/2014/main" id="{00000000-0008-0000-0800-00007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9" name="Text Box 169">
          <a:extLst>
            <a:ext uri="{FF2B5EF4-FFF2-40B4-BE49-F238E27FC236}">
              <a16:creationId xmlns:a16="http://schemas.microsoft.com/office/drawing/2014/main" id="{00000000-0008-0000-0800-00007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0" name="Text Box 170">
          <a:extLst>
            <a:ext uri="{FF2B5EF4-FFF2-40B4-BE49-F238E27FC236}">
              <a16:creationId xmlns:a16="http://schemas.microsoft.com/office/drawing/2014/main" id="{00000000-0008-0000-0800-00007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1" name="Text Box 171">
          <a:extLst>
            <a:ext uri="{FF2B5EF4-FFF2-40B4-BE49-F238E27FC236}">
              <a16:creationId xmlns:a16="http://schemas.microsoft.com/office/drawing/2014/main" id="{00000000-0008-0000-0800-00007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2" name="Text Box 172">
          <a:extLst>
            <a:ext uri="{FF2B5EF4-FFF2-40B4-BE49-F238E27FC236}">
              <a16:creationId xmlns:a16="http://schemas.microsoft.com/office/drawing/2014/main" id="{00000000-0008-0000-0800-00007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3" name="Text Box 173">
          <a:extLst>
            <a:ext uri="{FF2B5EF4-FFF2-40B4-BE49-F238E27FC236}">
              <a16:creationId xmlns:a16="http://schemas.microsoft.com/office/drawing/2014/main" id="{00000000-0008-0000-0800-00007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4" name="Text Box 174">
          <a:extLst>
            <a:ext uri="{FF2B5EF4-FFF2-40B4-BE49-F238E27FC236}">
              <a16:creationId xmlns:a16="http://schemas.microsoft.com/office/drawing/2014/main" id="{00000000-0008-0000-0800-00008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5" name="Text Box 175">
          <a:extLst>
            <a:ext uri="{FF2B5EF4-FFF2-40B4-BE49-F238E27FC236}">
              <a16:creationId xmlns:a16="http://schemas.microsoft.com/office/drawing/2014/main" id="{00000000-0008-0000-0800-00008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6" name="Text Box 176">
          <a:extLst>
            <a:ext uri="{FF2B5EF4-FFF2-40B4-BE49-F238E27FC236}">
              <a16:creationId xmlns:a16="http://schemas.microsoft.com/office/drawing/2014/main" id="{00000000-0008-0000-0800-00008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7" name="Text Box 177">
          <a:extLst>
            <a:ext uri="{FF2B5EF4-FFF2-40B4-BE49-F238E27FC236}">
              <a16:creationId xmlns:a16="http://schemas.microsoft.com/office/drawing/2014/main" id="{00000000-0008-0000-0800-00008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8" name="Text Box 178">
          <a:extLst>
            <a:ext uri="{FF2B5EF4-FFF2-40B4-BE49-F238E27FC236}">
              <a16:creationId xmlns:a16="http://schemas.microsoft.com/office/drawing/2014/main" id="{00000000-0008-0000-0800-00008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9" name="Text Box 179">
          <a:extLst>
            <a:ext uri="{FF2B5EF4-FFF2-40B4-BE49-F238E27FC236}">
              <a16:creationId xmlns:a16="http://schemas.microsoft.com/office/drawing/2014/main" id="{00000000-0008-0000-0800-00008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0" name="Text Box 180">
          <a:extLst>
            <a:ext uri="{FF2B5EF4-FFF2-40B4-BE49-F238E27FC236}">
              <a16:creationId xmlns:a16="http://schemas.microsoft.com/office/drawing/2014/main" id="{00000000-0008-0000-0800-00008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1" name="Text Box 181">
          <a:extLst>
            <a:ext uri="{FF2B5EF4-FFF2-40B4-BE49-F238E27FC236}">
              <a16:creationId xmlns:a16="http://schemas.microsoft.com/office/drawing/2014/main" id="{00000000-0008-0000-0800-00008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2" name="Text Box 182">
          <a:extLst>
            <a:ext uri="{FF2B5EF4-FFF2-40B4-BE49-F238E27FC236}">
              <a16:creationId xmlns:a16="http://schemas.microsoft.com/office/drawing/2014/main" id="{00000000-0008-0000-0800-00008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3" name="Text Box 183">
          <a:extLst>
            <a:ext uri="{FF2B5EF4-FFF2-40B4-BE49-F238E27FC236}">
              <a16:creationId xmlns:a16="http://schemas.microsoft.com/office/drawing/2014/main" id="{00000000-0008-0000-0800-00008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4" name="Text Box 184">
          <a:extLst>
            <a:ext uri="{FF2B5EF4-FFF2-40B4-BE49-F238E27FC236}">
              <a16:creationId xmlns:a16="http://schemas.microsoft.com/office/drawing/2014/main" id="{00000000-0008-0000-0800-00008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5" name="Text Box 185">
          <a:extLst>
            <a:ext uri="{FF2B5EF4-FFF2-40B4-BE49-F238E27FC236}">
              <a16:creationId xmlns:a16="http://schemas.microsoft.com/office/drawing/2014/main" id="{00000000-0008-0000-0800-00008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6" name="Text Box 186">
          <a:extLst>
            <a:ext uri="{FF2B5EF4-FFF2-40B4-BE49-F238E27FC236}">
              <a16:creationId xmlns:a16="http://schemas.microsoft.com/office/drawing/2014/main" id="{00000000-0008-0000-0800-00008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7" name="Text Box 187">
          <a:extLst>
            <a:ext uri="{FF2B5EF4-FFF2-40B4-BE49-F238E27FC236}">
              <a16:creationId xmlns:a16="http://schemas.microsoft.com/office/drawing/2014/main" id="{00000000-0008-0000-0800-00008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8" name="Text Box 188">
          <a:extLst>
            <a:ext uri="{FF2B5EF4-FFF2-40B4-BE49-F238E27FC236}">
              <a16:creationId xmlns:a16="http://schemas.microsoft.com/office/drawing/2014/main" id="{00000000-0008-0000-0800-00008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9" name="Text Box 189">
          <a:extLst>
            <a:ext uri="{FF2B5EF4-FFF2-40B4-BE49-F238E27FC236}">
              <a16:creationId xmlns:a16="http://schemas.microsoft.com/office/drawing/2014/main" id="{00000000-0008-0000-0800-00008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0" name="Text Box 190">
          <a:extLst>
            <a:ext uri="{FF2B5EF4-FFF2-40B4-BE49-F238E27FC236}">
              <a16:creationId xmlns:a16="http://schemas.microsoft.com/office/drawing/2014/main" id="{00000000-0008-0000-0800-00009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1" name="Text Box 191">
          <a:extLst>
            <a:ext uri="{FF2B5EF4-FFF2-40B4-BE49-F238E27FC236}">
              <a16:creationId xmlns:a16="http://schemas.microsoft.com/office/drawing/2014/main" id="{00000000-0008-0000-0800-00009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2" name="Text Box 192">
          <a:extLst>
            <a:ext uri="{FF2B5EF4-FFF2-40B4-BE49-F238E27FC236}">
              <a16:creationId xmlns:a16="http://schemas.microsoft.com/office/drawing/2014/main" id="{00000000-0008-0000-0800-00009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3" name="Text Box 193">
          <a:extLst>
            <a:ext uri="{FF2B5EF4-FFF2-40B4-BE49-F238E27FC236}">
              <a16:creationId xmlns:a16="http://schemas.microsoft.com/office/drawing/2014/main" id="{00000000-0008-0000-0800-00009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4" name="Text Box 194">
          <a:extLst>
            <a:ext uri="{FF2B5EF4-FFF2-40B4-BE49-F238E27FC236}">
              <a16:creationId xmlns:a16="http://schemas.microsoft.com/office/drawing/2014/main" id="{00000000-0008-0000-0800-00009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5" name="Text Box 195">
          <a:extLst>
            <a:ext uri="{FF2B5EF4-FFF2-40B4-BE49-F238E27FC236}">
              <a16:creationId xmlns:a16="http://schemas.microsoft.com/office/drawing/2014/main" id="{00000000-0008-0000-0800-00009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6" name="Text Box 196">
          <a:extLst>
            <a:ext uri="{FF2B5EF4-FFF2-40B4-BE49-F238E27FC236}">
              <a16:creationId xmlns:a16="http://schemas.microsoft.com/office/drawing/2014/main" id="{00000000-0008-0000-0800-00009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7" name="Text Box 197">
          <a:extLst>
            <a:ext uri="{FF2B5EF4-FFF2-40B4-BE49-F238E27FC236}">
              <a16:creationId xmlns:a16="http://schemas.microsoft.com/office/drawing/2014/main" id="{00000000-0008-0000-0800-00009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8" name="Text Box 198">
          <a:extLst>
            <a:ext uri="{FF2B5EF4-FFF2-40B4-BE49-F238E27FC236}">
              <a16:creationId xmlns:a16="http://schemas.microsoft.com/office/drawing/2014/main" id="{00000000-0008-0000-0800-00009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9" name="Text Box 199">
          <a:extLst>
            <a:ext uri="{FF2B5EF4-FFF2-40B4-BE49-F238E27FC236}">
              <a16:creationId xmlns:a16="http://schemas.microsoft.com/office/drawing/2014/main" id="{00000000-0008-0000-0800-00009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0" name="Text Box 200">
          <a:extLst>
            <a:ext uri="{FF2B5EF4-FFF2-40B4-BE49-F238E27FC236}">
              <a16:creationId xmlns:a16="http://schemas.microsoft.com/office/drawing/2014/main" id="{00000000-0008-0000-0800-00009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1" name="Text Box 201">
          <a:extLst>
            <a:ext uri="{FF2B5EF4-FFF2-40B4-BE49-F238E27FC236}">
              <a16:creationId xmlns:a16="http://schemas.microsoft.com/office/drawing/2014/main" id="{00000000-0008-0000-0800-00009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2" name="Text Box 202">
          <a:extLst>
            <a:ext uri="{FF2B5EF4-FFF2-40B4-BE49-F238E27FC236}">
              <a16:creationId xmlns:a16="http://schemas.microsoft.com/office/drawing/2014/main" id="{00000000-0008-0000-0800-00009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3" name="Text Box 203">
          <a:extLst>
            <a:ext uri="{FF2B5EF4-FFF2-40B4-BE49-F238E27FC236}">
              <a16:creationId xmlns:a16="http://schemas.microsoft.com/office/drawing/2014/main" id="{00000000-0008-0000-0800-00009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4" name="Text Box 204">
          <a:extLst>
            <a:ext uri="{FF2B5EF4-FFF2-40B4-BE49-F238E27FC236}">
              <a16:creationId xmlns:a16="http://schemas.microsoft.com/office/drawing/2014/main" id="{00000000-0008-0000-0800-00009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5" name="Text Box 205">
          <a:extLst>
            <a:ext uri="{FF2B5EF4-FFF2-40B4-BE49-F238E27FC236}">
              <a16:creationId xmlns:a16="http://schemas.microsoft.com/office/drawing/2014/main" id="{00000000-0008-0000-0800-00009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6" name="Text Box 206">
          <a:extLst>
            <a:ext uri="{FF2B5EF4-FFF2-40B4-BE49-F238E27FC236}">
              <a16:creationId xmlns:a16="http://schemas.microsoft.com/office/drawing/2014/main" id="{00000000-0008-0000-0800-0000A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7" name="Text Box 207">
          <a:extLst>
            <a:ext uri="{FF2B5EF4-FFF2-40B4-BE49-F238E27FC236}">
              <a16:creationId xmlns:a16="http://schemas.microsoft.com/office/drawing/2014/main" id="{00000000-0008-0000-0800-0000A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8" name="Text Box 208">
          <a:extLst>
            <a:ext uri="{FF2B5EF4-FFF2-40B4-BE49-F238E27FC236}">
              <a16:creationId xmlns:a16="http://schemas.microsoft.com/office/drawing/2014/main" id="{00000000-0008-0000-0800-0000A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9" name="Text Box 209">
          <a:extLst>
            <a:ext uri="{FF2B5EF4-FFF2-40B4-BE49-F238E27FC236}">
              <a16:creationId xmlns:a16="http://schemas.microsoft.com/office/drawing/2014/main" id="{00000000-0008-0000-0800-0000A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0" name="Text Box 210">
          <a:extLst>
            <a:ext uri="{FF2B5EF4-FFF2-40B4-BE49-F238E27FC236}">
              <a16:creationId xmlns:a16="http://schemas.microsoft.com/office/drawing/2014/main" id="{00000000-0008-0000-0800-0000A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1" name="Text Box 211">
          <a:extLst>
            <a:ext uri="{FF2B5EF4-FFF2-40B4-BE49-F238E27FC236}">
              <a16:creationId xmlns:a16="http://schemas.microsoft.com/office/drawing/2014/main" id="{00000000-0008-0000-0800-0000A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2" name="Text Box 212">
          <a:extLst>
            <a:ext uri="{FF2B5EF4-FFF2-40B4-BE49-F238E27FC236}">
              <a16:creationId xmlns:a16="http://schemas.microsoft.com/office/drawing/2014/main" id="{00000000-0008-0000-0800-0000A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3" name="Text Box 213">
          <a:extLst>
            <a:ext uri="{FF2B5EF4-FFF2-40B4-BE49-F238E27FC236}">
              <a16:creationId xmlns:a16="http://schemas.microsoft.com/office/drawing/2014/main" id="{00000000-0008-0000-0800-0000A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4" name="Text Box 214">
          <a:extLst>
            <a:ext uri="{FF2B5EF4-FFF2-40B4-BE49-F238E27FC236}">
              <a16:creationId xmlns:a16="http://schemas.microsoft.com/office/drawing/2014/main" id="{00000000-0008-0000-0800-0000A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5" name="Text Box 215">
          <a:extLst>
            <a:ext uri="{FF2B5EF4-FFF2-40B4-BE49-F238E27FC236}">
              <a16:creationId xmlns:a16="http://schemas.microsoft.com/office/drawing/2014/main" id="{00000000-0008-0000-0800-0000A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6" name="Text Box 216">
          <a:extLst>
            <a:ext uri="{FF2B5EF4-FFF2-40B4-BE49-F238E27FC236}">
              <a16:creationId xmlns:a16="http://schemas.microsoft.com/office/drawing/2014/main" id="{00000000-0008-0000-0800-0000A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7" name="Text Box 217">
          <a:extLst>
            <a:ext uri="{FF2B5EF4-FFF2-40B4-BE49-F238E27FC236}">
              <a16:creationId xmlns:a16="http://schemas.microsoft.com/office/drawing/2014/main" id="{00000000-0008-0000-0800-0000A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8" name="Text Box 218">
          <a:extLst>
            <a:ext uri="{FF2B5EF4-FFF2-40B4-BE49-F238E27FC236}">
              <a16:creationId xmlns:a16="http://schemas.microsoft.com/office/drawing/2014/main" id="{00000000-0008-0000-0800-0000A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9" name="Text Box 219">
          <a:extLst>
            <a:ext uri="{FF2B5EF4-FFF2-40B4-BE49-F238E27FC236}">
              <a16:creationId xmlns:a16="http://schemas.microsoft.com/office/drawing/2014/main" id="{00000000-0008-0000-0800-0000A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0" name="Text Box 220">
          <a:extLst>
            <a:ext uri="{FF2B5EF4-FFF2-40B4-BE49-F238E27FC236}">
              <a16:creationId xmlns:a16="http://schemas.microsoft.com/office/drawing/2014/main" id="{00000000-0008-0000-0800-0000A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1" name="Text Box 221">
          <a:extLst>
            <a:ext uri="{FF2B5EF4-FFF2-40B4-BE49-F238E27FC236}">
              <a16:creationId xmlns:a16="http://schemas.microsoft.com/office/drawing/2014/main" id="{00000000-0008-0000-0800-0000A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2" name="Text Box 222">
          <a:extLst>
            <a:ext uri="{FF2B5EF4-FFF2-40B4-BE49-F238E27FC236}">
              <a16:creationId xmlns:a16="http://schemas.microsoft.com/office/drawing/2014/main" id="{00000000-0008-0000-0800-0000B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3" name="Text Box 223">
          <a:extLst>
            <a:ext uri="{FF2B5EF4-FFF2-40B4-BE49-F238E27FC236}">
              <a16:creationId xmlns:a16="http://schemas.microsoft.com/office/drawing/2014/main" id="{00000000-0008-0000-0800-0000B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4" name="Text Box 224">
          <a:extLst>
            <a:ext uri="{FF2B5EF4-FFF2-40B4-BE49-F238E27FC236}">
              <a16:creationId xmlns:a16="http://schemas.microsoft.com/office/drawing/2014/main" id="{00000000-0008-0000-0800-0000B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5" name="Text Box 225">
          <a:extLst>
            <a:ext uri="{FF2B5EF4-FFF2-40B4-BE49-F238E27FC236}">
              <a16:creationId xmlns:a16="http://schemas.microsoft.com/office/drawing/2014/main" id="{00000000-0008-0000-0800-0000B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6" name="Text Box 226">
          <a:extLst>
            <a:ext uri="{FF2B5EF4-FFF2-40B4-BE49-F238E27FC236}">
              <a16:creationId xmlns:a16="http://schemas.microsoft.com/office/drawing/2014/main" id="{00000000-0008-0000-0800-0000B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7" name="Text Box 227">
          <a:extLst>
            <a:ext uri="{FF2B5EF4-FFF2-40B4-BE49-F238E27FC236}">
              <a16:creationId xmlns:a16="http://schemas.microsoft.com/office/drawing/2014/main" id="{00000000-0008-0000-0800-0000B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8" name="Text Box 228">
          <a:extLst>
            <a:ext uri="{FF2B5EF4-FFF2-40B4-BE49-F238E27FC236}">
              <a16:creationId xmlns:a16="http://schemas.microsoft.com/office/drawing/2014/main" id="{00000000-0008-0000-0800-0000B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9" name="Text Box 229">
          <a:extLst>
            <a:ext uri="{FF2B5EF4-FFF2-40B4-BE49-F238E27FC236}">
              <a16:creationId xmlns:a16="http://schemas.microsoft.com/office/drawing/2014/main" id="{00000000-0008-0000-0800-0000B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0" name="Text Box 230">
          <a:extLst>
            <a:ext uri="{FF2B5EF4-FFF2-40B4-BE49-F238E27FC236}">
              <a16:creationId xmlns:a16="http://schemas.microsoft.com/office/drawing/2014/main" id="{00000000-0008-0000-0800-0000B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1" name="Text Box 231">
          <a:extLst>
            <a:ext uri="{FF2B5EF4-FFF2-40B4-BE49-F238E27FC236}">
              <a16:creationId xmlns:a16="http://schemas.microsoft.com/office/drawing/2014/main" id="{00000000-0008-0000-0800-0000B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2" name="Text Box 232">
          <a:extLst>
            <a:ext uri="{FF2B5EF4-FFF2-40B4-BE49-F238E27FC236}">
              <a16:creationId xmlns:a16="http://schemas.microsoft.com/office/drawing/2014/main" id="{00000000-0008-0000-0800-0000B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3" name="Text Box 233">
          <a:extLst>
            <a:ext uri="{FF2B5EF4-FFF2-40B4-BE49-F238E27FC236}">
              <a16:creationId xmlns:a16="http://schemas.microsoft.com/office/drawing/2014/main" id="{00000000-0008-0000-0800-0000B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4" name="Text Box 234">
          <a:extLst>
            <a:ext uri="{FF2B5EF4-FFF2-40B4-BE49-F238E27FC236}">
              <a16:creationId xmlns:a16="http://schemas.microsoft.com/office/drawing/2014/main" id="{00000000-0008-0000-0800-0000B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5" name="Text Box 235">
          <a:extLst>
            <a:ext uri="{FF2B5EF4-FFF2-40B4-BE49-F238E27FC236}">
              <a16:creationId xmlns:a16="http://schemas.microsoft.com/office/drawing/2014/main" id="{00000000-0008-0000-0800-0000B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6" name="Text Box 236">
          <a:extLst>
            <a:ext uri="{FF2B5EF4-FFF2-40B4-BE49-F238E27FC236}">
              <a16:creationId xmlns:a16="http://schemas.microsoft.com/office/drawing/2014/main" id="{00000000-0008-0000-0800-0000B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7" name="Text Box 237">
          <a:extLst>
            <a:ext uri="{FF2B5EF4-FFF2-40B4-BE49-F238E27FC236}">
              <a16:creationId xmlns:a16="http://schemas.microsoft.com/office/drawing/2014/main" id="{00000000-0008-0000-0800-0000B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8" name="Text Box 238">
          <a:extLst>
            <a:ext uri="{FF2B5EF4-FFF2-40B4-BE49-F238E27FC236}">
              <a16:creationId xmlns:a16="http://schemas.microsoft.com/office/drawing/2014/main" id="{00000000-0008-0000-0800-0000C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9" name="Text Box 239">
          <a:extLst>
            <a:ext uri="{FF2B5EF4-FFF2-40B4-BE49-F238E27FC236}">
              <a16:creationId xmlns:a16="http://schemas.microsoft.com/office/drawing/2014/main" id="{00000000-0008-0000-0800-0000C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0" name="Text Box 240">
          <a:extLst>
            <a:ext uri="{FF2B5EF4-FFF2-40B4-BE49-F238E27FC236}">
              <a16:creationId xmlns:a16="http://schemas.microsoft.com/office/drawing/2014/main" id="{00000000-0008-0000-0800-0000C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1" name="Text Box 241">
          <a:extLst>
            <a:ext uri="{FF2B5EF4-FFF2-40B4-BE49-F238E27FC236}">
              <a16:creationId xmlns:a16="http://schemas.microsoft.com/office/drawing/2014/main" id="{00000000-0008-0000-0800-0000C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2" name="Text Box 242">
          <a:extLst>
            <a:ext uri="{FF2B5EF4-FFF2-40B4-BE49-F238E27FC236}">
              <a16:creationId xmlns:a16="http://schemas.microsoft.com/office/drawing/2014/main" id="{00000000-0008-0000-0800-0000C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3" name="Text Box 243">
          <a:extLst>
            <a:ext uri="{FF2B5EF4-FFF2-40B4-BE49-F238E27FC236}">
              <a16:creationId xmlns:a16="http://schemas.microsoft.com/office/drawing/2014/main" id="{00000000-0008-0000-0800-0000C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4" name="Text Box 244">
          <a:extLst>
            <a:ext uri="{FF2B5EF4-FFF2-40B4-BE49-F238E27FC236}">
              <a16:creationId xmlns:a16="http://schemas.microsoft.com/office/drawing/2014/main" id="{00000000-0008-0000-0800-0000C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5" name="Text Box 245">
          <a:extLst>
            <a:ext uri="{FF2B5EF4-FFF2-40B4-BE49-F238E27FC236}">
              <a16:creationId xmlns:a16="http://schemas.microsoft.com/office/drawing/2014/main" id="{00000000-0008-0000-0800-0000C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6" name="Text Box 246">
          <a:extLst>
            <a:ext uri="{FF2B5EF4-FFF2-40B4-BE49-F238E27FC236}">
              <a16:creationId xmlns:a16="http://schemas.microsoft.com/office/drawing/2014/main" id="{00000000-0008-0000-0800-0000C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7" name="Text Box 247">
          <a:extLst>
            <a:ext uri="{FF2B5EF4-FFF2-40B4-BE49-F238E27FC236}">
              <a16:creationId xmlns:a16="http://schemas.microsoft.com/office/drawing/2014/main" id="{00000000-0008-0000-0800-0000C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8" name="Text Box 248">
          <a:extLst>
            <a:ext uri="{FF2B5EF4-FFF2-40B4-BE49-F238E27FC236}">
              <a16:creationId xmlns:a16="http://schemas.microsoft.com/office/drawing/2014/main" id="{00000000-0008-0000-0800-0000C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9" name="Text Box 249">
          <a:extLst>
            <a:ext uri="{FF2B5EF4-FFF2-40B4-BE49-F238E27FC236}">
              <a16:creationId xmlns:a16="http://schemas.microsoft.com/office/drawing/2014/main" id="{00000000-0008-0000-0800-0000C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0" name="Text Box 250">
          <a:extLst>
            <a:ext uri="{FF2B5EF4-FFF2-40B4-BE49-F238E27FC236}">
              <a16:creationId xmlns:a16="http://schemas.microsoft.com/office/drawing/2014/main" id="{00000000-0008-0000-0800-0000C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1" name="Text Box 251">
          <a:extLst>
            <a:ext uri="{FF2B5EF4-FFF2-40B4-BE49-F238E27FC236}">
              <a16:creationId xmlns:a16="http://schemas.microsoft.com/office/drawing/2014/main" id="{00000000-0008-0000-0800-0000C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2" name="Text Box 252">
          <a:extLst>
            <a:ext uri="{FF2B5EF4-FFF2-40B4-BE49-F238E27FC236}">
              <a16:creationId xmlns:a16="http://schemas.microsoft.com/office/drawing/2014/main" id="{00000000-0008-0000-0800-0000C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3" name="Text Box 253">
          <a:extLst>
            <a:ext uri="{FF2B5EF4-FFF2-40B4-BE49-F238E27FC236}">
              <a16:creationId xmlns:a16="http://schemas.microsoft.com/office/drawing/2014/main" id="{00000000-0008-0000-0800-0000C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4" name="Text Box 254">
          <a:extLst>
            <a:ext uri="{FF2B5EF4-FFF2-40B4-BE49-F238E27FC236}">
              <a16:creationId xmlns:a16="http://schemas.microsoft.com/office/drawing/2014/main" id="{00000000-0008-0000-0800-0000D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5" name="Text Box 255">
          <a:extLst>
            <a:ext uri="{FF2B5EF4-FFF2-40B4-BE49-F238E27FC236}">
              <a16:creationId xmlns:a16="http://schemas.microsoft.com/office/drawing/2014/main" id="{00000000-0008-0000-0800-0000D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6" name="Text Box 256">
          <a:extLst>
            <a:ext uri="{FF2B5EF4-FFF2-40B4-BE49-F238E27FC236}">
              <a16:creationId xmlns:a16="http://schemas.microsoft.com/office/drawing/2014/main" id="{00000000-0008-0000-0800-0000D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7" name="Text Box 257">
          <a:extLst>
            <a:ext uri="{FF2B5EF4-FFF2-40B4-BE49-F238E27FC236}">
              <a16:creationId xmlns:a16="http://schemas.microsoft.com/office/drawing/2014/main" id="{00000000-0008-0000-0800-0000D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8" name="Text Box 258">
          <a:extLst>
            <a:ext uri="{FF2B5EF4-FFF2-40B4-BE49-F238E27FC236}">
              <a16:creationId xmlns:a16="http://schemas.microsoft.com/office/drawing/2014/main" id="{00000000-0008-0000-0800-0000D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9" name="Text Box 259">
          <a:extLst>
            <a:ext uri="{FF2B5EF4-FFF2-40B4-BE49-F238E27FC236}">
              <a16:creationId xmlns:a16="http://schemas.microsoft.com/office/drawing/2014/main" id="{00000000-0008-0000-0800-0000D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0" name="Text Box 260">
          <a:extLst>
            <a:ext uri="{FF2B5EF4-FFF2-40B4-BE49-F238E27FC236}">
              <a16:creationId xmlns:a16="http://schemas.microsoft.com/office/drawing/2014/main" id="{00000000-0008-0000-0800-0000D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1" name="Text Box 261">
          <a:extLst>
            <a:ext uri="{FF2B5EF4-FFF2-40B4-BE49-F238E27FC236}">
              <a16:creationId xmlns:a16="http://schemas.microsoft.com/office/drawing/2014/main" id="{00000000-0008-0000-0800-0000D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2" name="Text Box 262">
          <a:extLst>
            <a:ext uri="{FF2B5EF4-FFF2-40B4-BE49-F238E27FC236}">
              <a16:creationId xmlns:a16="http://schemas.microsoft.com/office/drawing/2014/main" id="{00000000-0008-0000-0800-0000D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3" name="Text Box 263">
          <a:extLst>
            <a:ext uri="{FF2B5EF4-FFF2-40B4-BE49-F238E27FC236}">
              <a16:creationId xmlns:a16="http://schemas.microsoft.com/office/drawing/2014/main" id="{00000000-0008-0000-0800-0000D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4" name="Text Box 264">
          <a:extLst>
            <a:ext uri="{FF2B5EF4-FFF2-40B4-BE49-F238E27FC236}">
              <a16:creationId xmlns:a16="http://schemas.microsoft.com/office/drawing/2014/main" id="{00000000-0008-0000-0800-0000D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5" name="Text Box 265">
          <a:extLst>
            <a:ext uri="{FF2B5EF4-FFF2-40B4-BE49-F238E27FC236}">
              <a16:creationId xmlns:a16="http://schemas.microsoft.com/office/drawing/2014/main" id="{00000000-0008-0000-0800-0000D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6" name="Text Box 266">
          <a:extLst>
            <a:ext uri="{FF2B5EF4-FFF2-40B4-BE49-F238E27FC236}">
              <a16:creationId xmlns:a16="http://schemas.microsoft.com/office/drawing/2014/main" id="{00000000-0008-0000-0800-0000D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7" name="Text Box 267">
          <a:extLst>
            <a:ext uri="{FF2B5EF4-FFF2-40B4-BE49-F238E27FC236}">
              <a16:creationId xmlns:a16="http://schemas.microsoft.com/office/drawing/2014/main" id="{00000000-0008-0000-0800-0000D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8" name="Text Box 268">
          <a:extLst>
            <a:ext uri="{FF2B5EF4-FFF2-40B4-BE49-F238E27FC236}">
              <a16:creationId xmlns:a16="http://schemas.microsoft.com/office/drawing/2014/main" id="{00000000-0008-0000-0800-0000D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9" name="Text Box 269">
          <a:extLst>
            <a:ext uri="{FF2B5EF4-FFF2-40B4-BE49-F238E27FC236}">
              <a16:creationId xmlns:a16="http://schemas.microsoft.com/office/drawing/2014/main" id="{00000000-0008-0000-0800-0000D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0" name="Text Box 270">
          <a:extLst>
            <a:ext uri="{FF2B5EF4-FFF2-40B4-BE49-F238E27FC236}">
              <a16:creationId xmlns:a16="http://schemas.microsoft.com/office/drawing/2014/main" id="{00000000-0008-0000-0800-0000E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1" name="Text Box 271">
          <a:extLst>
            <a:ext uri="{FF2B5EF4-FFF2-40B4-BE49-F238E27FC236}">
              <a16:creationId xmlns:a16="http://schemas.microsoft.com/office/drawing/2014/main" id="{00000000-0008-0000-0800-0000E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2" name="Text Box 272">
          <a:extLst>
            <a:ext uri="{FF2B5EF4-FFF2-40B4-BE49-F238E27FC236}">
              <a16:creationId xmlns:a16="http://schemas.microsoft.com/office/drawing/2014/main" id="{00000000-0008-0000-0800-0000E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3" name="Text Box 273">
          <a:extLst>
            <a:ext uri="{FF2B5EF4-FFF2-40B4-BE49-F238E27FC236}">
              <a16:creationId xmlns:a16="http://schemas.microsoft.com/office/drawing/2014/main" id="{00000000-0008-0000-0800-0000E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4" name="Text Box 274">
          <a:extLst>
            <a:ext uri="{FF2B5EF4-FFF2-40B4-BE49-F238E27FC236}">
              <a16:creationId xmlns:a16="http://schemas.microsoft.com/office/drawing/2014/main" id="{00000000-0008-0000-0800-0000E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5" name="Text Box 275">
          <a:extLst>
            <a:ext uri="{FF2B5EF4-FFF2-40B4-BE49-F238E27FC236}">
              <a16:creationId xmlns:a16="http://schemas.microsoft.com/office/drawing/2014/main" id="{00000000-0008-0000-0800-0000E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6" name="Text Box 276">
          <a:extLst>
            <a:ext uri="{FF2B5EF4-FFF2-40B4-BE49-F238E27FC236}">
              <a16:creationId xmlns:a16="http://schemas.microsoft.com/office/drawing/2014/main" id="{00000000-0008-0000-0800-0000E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7" name="Text Box 277">
          <a:extLst>
            <a:ext uri="{FF2B5EF4-FFF2-40B4-BE49-F238E27FC236}">
              <a16:creationId xmlns:a16="http://schemas.microsoft.com/office/drawing/2014/main" id="{00000000-0008-0000-0800-0000E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8" name="Text Box 278">
          <a:extLst>
            <a:ext uri="{FF2B5EF4-FFF2-40B4-BE49-F238E27FC236}">
              <a16:creationId xmlns:a16="http://schemas.microsoft.com/office/drawing/2014/main" id="{00000000-0008-0000-0800-0000E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9" name="Text Box 279">
          <a:extLst>
            <a:ext uri="{FF2B5EF4-FFF2-40B4-BE49-F238E27FC236}">
              <a16:creationId xmlns:a16="http://schemas.microsoft.com/office/drawing/2014/main" id="{00000000-0008-0000-0800-0000E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0" name="Text Box 280">
          <a:extLst>
            <a:ext uri="{FF2B5EF4-FFF2-40B4-BE49-F238E27FC236}">
              <a16:creationId xmlns:a16="http://schemas.microsoft.com/office/drawing/2014/main" id="{00000000-0008-0000-0800-0000E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1" name="Text Box 281">
          <a:extLst>
            <a:ext uri="{FF2B5EF4-FFF2-40B4-BE49-F238E27FC236}">
              <a16:creationId xmlns:a16="http://schemas.microsoft.com/office/drawing/2014/main" id="{00000000-0008-0000-0800-0000E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2" name="Text Box 282">
          <a:extLst>
            <a:ext uri="{FF2B5EF4-FFF2-40B4-BE49-F238E27FC236}">
              <a16:creationId xmlns:a16="http://schemas.microsoft.com/office/drawing/2014/main" id="{00000000-0008-0000-0800-0000E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3" name="Text Box 283">
          <a:extLst>
            <a:ext uri="{FF2B5EF4-FFF2-40B4-BE49-F238E27FC236}">
              <a16:creationId xmlns:a16="http://schemas.microsoft.com/office/drawing/2014/main" id="{00000000-0008-0000-0800-0000E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4" name="Text Box 284">
          <a:extLst>
            <a:ext uri="{FF2B5EF4-FFF2-40B4-BE49-F238E27FC236}">
              <a16:creationId xmlns:a16="http://schemas.microsoft.com/office/drawing/2014/main" id="{00000000-0008-0000-0800-0000E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5" name="Text Box 285">
          <a:extLst>
            <a:ext uri="{FF2B5EF4-FFF2-40B4-BE49-F238E27FC236}">
              <a16:creationId xmlns:a16="http://schemas.microsoft.com/office/drawing/2014/main" id="{00000000-0008-0000-0800-0000E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6" name="Text Box 286">
          <a:extLst>
            <a:ext uri="{FF2B5EF4-FFF2-40B4-BE49-F238E27FC236}">
              <a16:creationId xmlns:a16="http://schemas.microsoft.com/office/drawing/2014/main" id="{00000000-0008-0000-0800-0000F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7" name="Text Box 287">
          <a:extLst>
            <a:ext uri="{FF2B5EF4-FFF2-40B4-BE49-F238E27FC236}">
              <a16:creationId xmlns:a16="http://schemas.microsoft.com/office/drawing/2014/main" id="{00000000-0008-0000-0800-0000F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8" name="Text Box 288">
          <a:extLst>
            <a:ext uri="{FF2B5EF4-FFF2-40B4-BE49-F238E27FC236}">
              <a16:creationId xmlns:a16="http://schemas.microsoft.com/office/drawing/2014/main" id="{00000000-0008-0000-0800-0000F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9" name="Text Box 289">
          <a:extLst>
            <a:ext uri="{FF2B5EF4-FFF2-40B4-BE49-F238E27FC236}">
              <a16:creationId xmlns:a16="http://schemas.microsoft.com/office/drawing/2014/main" id="{00000000-0008-0000-0800-0000F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0" name="Text Box 290">
          <a:extLst>
            <a:ext uri="{FF2B5EF4-FFF2-40B4-BE49-F238E27FC236}">
              <a16:creationId xmlns:a16="http://schemas.microsoft.com/office/drawing/2014/main" id="{00000000-0008-0000-0800-0000F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1" name="Text Box 291">
          <a:extLst>
            <a:ext uri="{FF2B5EF4-FFF2-40B4-BE49-F238E27FC236}">
              <a16:creationId xmlns:a16="http://schemas.microsoft.com/office/drawing/2014/main" id="{00000000-0008-0000-0800-0000F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2" name="Text Box 292">
          <a:extLst>
            <a:ext uri="{FF2B5EF4-FFF2-40B4-BE49-F238E27FC236}">
              <a16:creationId xmlns:a16="http://schemas.microsoft.com/office/drawing/2014/main" id="{00000000-0008-0000-0800-0000F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3" name="Text Box 293">
          <a:extLst>
            <a:ext uri="{FF2B5EF4-FFF2-40B4-BE49-F238E27FC236}">
              <a16:creationId xmlns:a16="http://schemas.microsoft.com/office/drawing/2014/main" id="{00000000-0008-0000-0800-0000F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4" name="Text Box 294">
          <a:extLst>
            <a:ext uri="{FF2B5EF4-FFF2-40B4-BE49-F238E27FC236}">
              <a16:creationId xmlns:a16="http://schemas.microsoft.com/office/drawing/2014/main" id="{00000000-0008-0000-0800-0000F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5" name="Text Box 295">
          <a:extLst>
            <a:ext uri="{FF2B5EF4-FFF2-40B4-BE49-F238E27FC236}">
              <a16:creationId xmlns:a16="http://schemas.microsoft.com/office/drawing/2014/main" id="{00000000-0008-0000-0800-0000F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6" name="Text Box 296">
          <a:extLst>
            <a:ext uri="{FF2B5EF4-FFF2-40B4-BE49-F238E27FC236}">
              <a16:creationId xmlns:a16="http://schemas.microsoft.com/office/drawing/2014/main" id="{00000000-0008-0000-0800-0000F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7" name="Text Box 297">
          <a:extLst>
            <a:ext uri="{FF2B5EF4-FFF2-40B4-BE49-F238E27FC236}">
              <a16:creationId xmlns:a16="http://schemas.microsoft.com/office/drawing/2014/main" id="{00000000-0008-0000-0800-0000F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8" name="Text Box 298">
          <a:extLst>
            <a:ext uri="{FF2B5EF4-FFF2-40B4-BE49-F238E27FC236}">
              <a16:creationId xmlns:a16="http://schemas.microsoft.com/office/drawing/2014/main" id="{00000000-0008-0000-0800-0000F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9" name="Text Box 299">
          <a:extLst>
            <a:ext uri="{FF2B5EF4-FFF2-40B4-BE49-F238E27FC236}">
              <a16:creationId xmlns:a16="http://schemas.microsoft.com/office/drawing/2014/main" id="{00000000-0008-0000-0800-0000F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0" name="Text Box 300">
          <a:extLst>
            <a:ext uri="{FF2B5EF4-FFF2-40B4-BE49-F238E27FC236}">
              <a16:creationId xmlns:a16="http://schemas.microsoft.com/office/drawing/2014/main" id="{00000000-0008-0000-0800-0000F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1" name="Text Box 301">
          <a:extLst>
            <a:ext uri="{FF2B5EF4-FFF2-40B4-BE49-F238E27FC236}">
              <a16:creationId xmlns:a16="http://schemas.microsoft.com/office/drawing/2014/main" id="{00000000-0008-0000-0800-0000F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2" name="Text Box 302">
          <a:extLst>
            <a:ext uri="{FF2B5EF4-FFF2-40B4-BE49-F238E27FC236}">
              <a16:creationId xmlns:a16="http://schemas.microsoft.com/office/drawing/2014/main" id="{00000000-0008-0000-0800-00000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3" name="Text Box 303">
          <a:extLst>
            <a:ext uri="{FF2B5EF4-FFF2-40B4-BE49-F238E27FC236}">
              <a16:creationId xmlns:a16="http://schemas.microsoft.com/office/drawing/2014/main" id="{00000000-0008-0000-0800-00000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4" name="Text Box 304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5" name="Text Box 305">
          <a:extLst>
            <a:ext uri="{FF2B5EF4-FFF2-40B4-BE49-F238E27FC236}">
              <a16:creationId xmlns:a16="http://schemas.microsoft.com/office/drawing/2014/main" id="{00000000-0008-0000-0800-00000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6" name="Text Box 306">
          <a:extLst>
            <a:ext uri="{FF2B5EF4-FFF2-40B4-BE49-F238E27FC236}">
              <a16:creationId xmlns:a16="http://schemas.microsoft.com/office/drawing/2014/main" id="{00000000-0008-0000-0800-00000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7" name="Text Box 307">
          <a:extLst>
            <a:ext uri="{FF2B5EF4-FFF2-40B4-BE49-F238E27FC236}">
              <a16:creationId xmlns:a16="http://schemas.microsoft.com/office/drawing/2014/main" id="{00000000-0008-0000-0800-00000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8" name="Text Box 308">
          <a:extLst>
            <a:ext uri="{FF2B5EF4-FFF2-40B4-BE49-F238E27FC236}">
              <a16:creationId xmlns:a16="http://schemas.microsoft.com/office/drawing/2014/main" id="{00000000-0008-0000-0800-00000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9" name="Text Box 309">
          <a:extLst>
            <a:ext uri="{FF2B5EF4-FFF2-40B4-BE49-F238E27FC236}">
              <a16:creationId xmlns:a16="http://schemas.microsoft.com/office/drawing/2014/main" id="{00000000-0008-0000-0800-00000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0" name="Text Box 310">
          <a:extLst>
            <a:ext uri="{FF2B5EF4-FFF2-40B4-BE49-F238E27FC236}">
              <a16:creationId xmlns:a16="http://schemas.microsoft.com/office/drawing/2014/main" id="{00000000-0008-0000-0800-00000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1" name="Text Box 311">
          <a:extLst>
            <a:ext uri="{FF2B5EF4-FFF2-40B4-BE49-F238E27FC236}">
              <a16:creationId xmlns:a16="http://schemas.microsoft.com/office/drawing/2014/main" id="{00000000-0008-0000-0800-00000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2" name="Text Box 312">
          <a:extLst>
            <a:ext uri="{FF2B5EF4-FFF2-40B4-BE49-F238E27FC236}">
              <a16:creationId xmlns:a16="http://schemas.microsoft.com/office/drawing/2014/main" id="{00000000-0008-0000-0800-00000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3" name="Text Box 313">
          <a:extLst>
            <a:ext uri="{FF2B5EF4-FFF2-40B4-BE49-F238E27FC236}">
              <a16:creationId xmlns:a16="http://schemas.microsoft.com/office/drawing/2014/main" id="{00000000-0008-0000-0800-00000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4" name="Text Box 314">
          <a:extLst>
            <a:ext uri="{FF2B5EF4-FFF2-40B4-BE49-F238E27FC236}">
              <a16:creationId xmlns:a16="http://schemas.microsoft.com/office/drawing/2014/main" id="{00000000-0008-0000-0800-00000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5" name="Text Box 315">
          <a:extLst>
            <a:ext uri="{FF2B5EF4-FFF2-40B4-BE49-F238E27FC236}">
              <a16:creationId xmlns:a16="http://schemas.microsoft.com/office/drawing/2014/main" id="{00000000-0008-0000-0800-00000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6" name="Text Box 316">
          <a:extLst>
            <a:ext uri="{FF2B5EF4-FFF2-40B4-BE49-F238E27FC236}">
              <a16:creationId xmlns:a16="http://schemas.microsoft.com/office/drawing/2014/main" id="{00000000-0008-0000-0800-00000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7" name="Text Box 317">
          <a:extLst>
            <a:ext uri="{FF2B5EF4-FFF2-40B4-BE49-F238E27FC236}">
              <a16:creationId xmlns:a16="http://schemas.microsoft.com/office/drawing/2014/main" id="{00000000-0008-0000-0800-00000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8" name="Text Box 318">
          <a:extLst>
            <a:ext uri="{FF2B5EF4-FFF2-40B4-BE49-F238E27FC236}">
              <a16:creationId xmlns:a16="http://schemas.microsoft.com/office/drawing/2014/main" id="{00000000-0008-0000-0800-00001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9" name="Text Box 319">
          <a:extLst>
            <a:ext uri="{FF2B5EF4-FFF2-40B4-BE49-F238E27FC236}">
              <a16:creationId xmlns:a16="http://schemas.microsoft.com/office/drawing/2014/main" id="{00000000-0008-0000-0800-00001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90" name="Text Box 320">
          <a:extLst>
            <a:ext uri="{FF2B5EF4-FFF2-40B4-BE49-F238E27FC236}">
              <a16:creationId xmlns:a16="http://schemas.microsoft.com/office/drawing/2014/main" id="{00000000-0008-0000-0800-00001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1" name="Text Box 28">
          <a:extLst>
            <a:ext uri="{FF2B5EF4-FFF2-40B4-BE49-F238E27FC236}">
              <a16:creationId xmlns:a16="http://schemas.microsoft.com/office/drawing/2014/main" id="{00000000-0008-0000-0800-00001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2" name="Text Box 29">
          <a:extLst>
            <a:ext uri="{FF2B5EF4-FFF2-40B4-BE49-F238E27FC236}">
              <a16:creationId xmlns:a16="http://schemas.microsoft.com/office/drawing/2014/main" id="{00000000-0008-0000-0800-00001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3" name="Text Box 30">
          <a:extLst>
            <a:ext uri="{FF2B5EF4-FFF2-40B4-BE49-F238E27FC236}">
              <a16:creationId xmlns:a16="http://schemas.microsoft.com/office/drawing/2014/main" id="{00000000-0008-0000-0800-00001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4" name="Text Box 31">
          <a:extLst>
            <a:ext uri="{FF2B5EF4-FFF2-40B4-BE49-F238E27FC236}">
              <a16:creationId xmlns:a16="http://schemas.microsoft.com/office/drawing/2014/main" id="{00000000-0008-0000-0800-00001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5" name="Text Box 32">
          <a:extLst>
            <a:ext uri="{FF2B5EF4-FFF2-40B4-BE49-F238E27FC236}">
              <a16:creationId xmlns:a16="http://schemas.microsoft.com/office/drawing/2014/main" id="{00000000-0008-0000-0800-00001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6" name="Text Box 33">
          <a:extLst>
            <a:ext uri="{FF2B5EF4-FFF2-40B4-BE49-F238E27FC236}">
              <a16:creationId xmlns:a16="http://schemas.microsoft.com/office/drawing/2014/main" id="{00000000-0008-0000-0800-00001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7" name="Text Box 34">
          <a:extLst>
            <a:ext uri="{FF2B5EF4-FFF2-40B4-BE49-F238E27FC236}">
              <a16:creationId xmlns:a16="http://schemas.microsoft.com/office/drawing/2014/main" id="{00000000-0008-0000-0800-00001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8" name="Text Box 35">
          <a:extLst>
            <a:ext uri="{FF2B5EF4-FFF2-40B4-BE49-F238E27FC236}">
              <a16:creationId xmlns:a16="http://schemas.microsoft.com/office/drawing/2014/main" id="{00000000-0008-0000-0800-00001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9" name="Text Box 36">
          <a:extLst>
            <a:ext uri="{FF2B5EF4-FFF2-40B4-BE49-F238E27FC236}">
              <a16:creationId xmlns:a16="http://schemas.microsoft.com/office/drawing/2014/main" id="{00000000-0008-0000-0800-00001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0" name="Text Box 37">
          <a:extLst>
            <a:ext uri="{FF2B5EF4-FFF2-40B4-BE49-F238E27FC236}">
              <a16:creationId xmlns:a16="http://schemas.microsoft.com/office/drawing/2014/main" id="{00000000-0008-0000-0800-00001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1" name="Text Box 38">
          <a:extLst>
            <a:ext uri="{FF2B5EF4-FFF2-40B4-BE49-F238E27FC236}">
              <a16:creationId xmlns:a16="http://schemas.microsoft.com/office/drawing/2014/main" id="{00000000-0008-0000-0800-00001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2" name="Text Box 39">
          <a:extLst>
            <a:ext uri="{FF2B5EF4-FFF2-40B4-BE49-F238E27FC236}">
              <a16:creationId xmlns:a16="http://schemas.microsoft.com/office/drawing/2014/main" id="{00000000-0008-0000-0800-00001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3" name="Text Box 40">
          <a:extLst>
            <a:ext uri="{FF2B5EF4-FFF2-40B4-BE49-F238E27FC236}">
              <a16:creationId xmlns:a16="http://schemas.microsoft.com/office/drawing/2014/main" id="{00000000-0008-0000-0800-00001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4" name="Text Box 41">
          <a:extLst>
            <a:ext uri="{FF2B5EF4-FFF2-40B4-BE49-F238E27FC236}">
              <a16:creationId xmlns:a16="http://schemas.microsoft.com/office/drawing/2014/main" id="{00000000-0008-0000-0800-00002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5" name="Text Box 42">
          <a:extLst>
            <a:ext uri="{FF2B5EF4-FFF2-40B4-BE49-F238E27FC236}">
              <a16:creationId xmlns:a16="http://schemas.microsoft.com/office/drawing/2014/main" id="{00000000-0008-0000-0800-00002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6" name="Text Box 43">
          <a:extLst>
            <a:ext uri="{FF2B5EF4-FFF2-40B4-BE49-F238E27FC236}">
              <a16:creationId xmlns:a16="http://schemas.microsoft.com/office/drawing/2014/main" id="{00000000-0008-0000-0800-00002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7" name="Text Box 44">
          <a:extLst>
            <a:ext uri="{FF2B5EF4-FFF2-40B4-BE49-F238E27FC236}">
              <a16:creationId xmlns:a16="http://schemas.microsoft.com/office/drawing/2014/main" id="{00000000-0008-0000-0800-00002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8" name="Text Box 45">
          <a:extLst>
            <a:ext uri="{FF2B5EF4-FFF2-40B4-BE49-F238E27FC236}">
              <a16:creationId xmlns:a16="http://schemas.microsoft.com/office/drawing/2014/main" id="{00000000-0008-0000-0800-00002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9" name="Text Box 46">
          <a:extLst>
            <a:ext uri="{FF2B5EF4-FFF2-40B4-BE49-F238E27FC236}">
              <a16:creationId xmlns:a16="http://schemas.microsoft.com/office/drawing/2014/main" id="{00000000-0008-0000-0800-00002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0" name="Text Box 47">
          <a:extLst>
            <a:ext uri="{FF2B5EF4-FFF2-40B4-BE49-F238E27FC236}">
              <a16:creationId xmlns:a16="http://schemas.microsoft.com/office/drawing/2014/main" id="{00000000-0008-0000-0800-00002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1" name="Text Box 48">
          <a:extLst>
            <a:ext uri="{FF2B5EF4-FFF2-40B4-BE49-F238E27FC236}">
              <a16:creationId xmlns:a16="http://schemas.microsoft.com/office/drawing/2014/main" id="{00000000-0008-0000-0800-00002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2" name="Text Box 49">
          <a:extLst>
            <a:ext uri="{FF2B5EF4-FFF2-40B4-BE49-F238E27FC236}">
              <a16:creationId xmlns:a16="http://schemas.microsoft.com/office/drawing/2014/main" id="{00000000-0008-0000-0800-00002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3" name="Text Box 50">
          <a:extLst>
            <a:ext uri="{FF2B5EF4-FFF2-40B4-BE49-F238E27FC236}">
              <a16:creationId xmlns:a16="http://schemas.microsoft.com/office/drawing/2014/main" id="{00000000-0008-0000-0800-00002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4" name="Text Box 51">
          <a:extLst>
            <a:ext uri="{FF2B5EF4-FFF2-40B4-BE49-F238E27FC236}">
              <a16:creationId xmlns:a16="http://schemas.microsoft.com/office/drawing/2014/main" id="{00000000-0008-0000-0800-00002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5" name="Text Box 52">
          <a:extLst>
            <a:ext uri="{FF2B5EF4-FFF2-40B4-BE49-F238E27FC236}">
              <a16:creationId xmlns:a16="http://schemas.microsoft.com/office/drawing/2014/main" id="{00000000-0008-0000-0800-00002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6" name="Text Box 53">
          <a:extLst>
            <a:ext uri="{FF2B5EF4-FFF2-40B4-BE49-F238E27FC236}">
              <a16:creationId xmlns:a16="http://schemas.microsoft.com/office/drawing/2014/main" id="{00000000-0008-0000-0800-00002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7" name="Text Box 54">
          <a:extLst>
            <a:ext uri="{FF2B5EF4-FFF2-40B4-BE49-F238E27FC236}">
              <a16:creationId xmlns:a16="http://schemas.microsoft.com/office/drawing/2014/main" id="{00000000-0008-0000-0800-00002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8" name="Text Box 55">
          <a:extLst>
            <a:ext uri="{FF2B5EF4-FFF2-40B4-BE49-F238E27FC236}">
              <a16:creationId xmlns:a16="http://schemas.microsoft.com/office/drawing/2014/main" id="{00000000-0008-0000-0800-00002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9" name="Text Box 56">
          <a:extLst>
            <a:ext uri="{FF2B5EF4-FFF2-40B4-BE49-F238E27FC236}">
              <a16:creationId xmlns:a16="http://schemas.microsoft.com/office/drawing/2014/main" id="{00000000-0008-0000-0800-00002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0" name="Text Box 57">
          <a:extLst>
            <a:ext uri="{FF2B5EF4-FFF2-40B4-BE49-F238E27FC236}">
              <a16:creationId xmlns:a16="http://schemas.microsoft.com/office/drawing/2014/main" id="{00000000-0008-0000-0800-00003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1" name="Text Box 58">
          <a:extLst>
            <a:ext uri="{FF2B5EF4-FFF2-40B4-BE49-F238E27FC236}">
              <a16:creationId xmlns:a16="http://schemas.microsoft.com/office/drawing/2014/main" id="{00000000-0008-0000-0800-00003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2" name="Text Box 59">
          <a:extLst>
            <a:ext uri="{FF2B5EF4-FFF2-40B4-BE49-F238E27FC236}">
              <a16:creationId xmlns:a16="http://schemas.microsoft.com/office/drawing/2014/main" id="{00000000-0008-0000-0800-00003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3" name="Text Box 60">
          <a:extLst>
            <a:ext uri="{FF2B5EF4-FFF2-40B4-BE49-F238E27FC236}">
              <a16:creationId xmlns:a16="http://schemas.microsoft.com/office/drawing/2014/main" id="{00000000-0008-0000-0800-00003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4" name="Text Box 61">
          <a:extLst>
            <a:ext uri="{FF2B5EF4-FFF2-40B4-BE49-F238E27FC236}">
              <a16:creationId xmlns:a16="http://schemas.microsoft.com/office/drawing/2014/main" id="{00000000-0008-0000-0800-00003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5" name="Text Box 62">
          <a:extLst>
            <a:ext uri="{FF2B5EF4-FFF2-40B4-BE49-F238E27FC236}">
              <a16:creationId xmlns:a16="http://schemas.microsoft.com/office/drawing/2014/main" id="{00000000-0008-0000-0800-00003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6" name="Text Box 63">
          <a:extLst>
            <a:ext uri="{FF2B5EF4-FFF2-40B4-BE49-F238E27FC236}">
              <a16:creationId xmlns:a16="http://schemas.microsoft.com/office/drawing/2014/main" id="{00000000-0008-0000-0800-00003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7" name="Text Box 64">
          <a:extLst>
            <a:ext uri="{FF2B5EF4-FFF2-40B4-BE49-F238E27FC236}">
              <a16:creationId xmlns:a16="http://schemas.microsoft.com/office/drawing/2014/main" id="{00000000-0008-0000-0800-00003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8" name="Text Box 65">
          <a:extLst>
            <a:ext uri="{FF2B5EF4-FFF2-40B4-BE49-F238E27FC236}">
              <a16:creationId xmlns:a16="http://schemas.microsoft.com/office/drawing/2014/main" id="{00000000-0008-0000-0800-00003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9" name="Text Box 66">
          <a:extLst>
            <a:ext uri="{FF2B5EF4-FFF2-40B4-BE49-F238E27FC236}">
              <a16:creationId xmlns:a16="http://schemas.microsoft.com/office/drawing/2014/main" id="{00000000-0008-0000-0800-00003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0" name="Text Box 67">
          <a:extLst>
            <a:ext uri="{FF2B5EF4-FFF2-40B4-BE49-F238E27FC236}">
              <a16:creationId xmlns:a16="http://schemas.microsoft.com/office/drawing/2014/main" id="{00000000-0008-0000-0800-00003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1" name="Text Box 68">
          <a:extLst>
            <a:ext uri="{FF2B5EF4-FFF2-40B4-BE49-F238E27FC236}">
              <a16:creationId xmlns:a16="http://schemas.microsoft.com/office/drawing/2014/main" id="{00000000-0008-0000-0800-00003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2" name="Text Box 69">
          <a:extLst>
            <a:ext uri="{FF2B5EF4-FFF2-40B4-BE49-F238E27FC236}">
              <a16:creationId xmlns:a16="http://schemas.microsoft.com/office/drawing/2014/main" id="{00000000-0008-0000-0800-00003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3" name="Text Box 70">
          <a:extLst>
            <a:ext uri="{FF2B5EF4-FFF2-40B4-BE49-F238E27FC236}">
              <a16:creationId xmlns:a16="http://schemas.microsoft.com/office/drawing/2014/main" id="{00000000-0008-0000-0800-00003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4" name="Text Box 71">
          <a:extLst>
            <a:ext uri="{FF2B5EF4-FFF2-40B4-BE49-F238E27FC236}">
              <a16:creationId xmlns:a16="http://schemas.microsoft.com/office/drawing/2014/main" id="{00000000-0008-0000-0800-00003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5" name="Text Box 72">
          <a:extLst>
            <a:ext uri="{FF2B5EF4-FFF2-40B4-BE49-F238E27FC236}">
              <a16:creationId xmlns:a16="http://schemas.microsoft.com/office/drawing/2014/main" id="{00000000-0008-0000-0800-00003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6" name="Text Box 73">
          <a:extLst>
            <a:ext uri="{FF2B5EF4-FFF2-40B4-BE49-F238E27FC236}">
              <a16:creationId xmlns:a16="http://schemas.microsoft.com/office/drawing/2014/main" id="{00000000-0008-0000-0800-00004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7" name="Text Box 74">
          <a:extLst>
            <a:ext uri="{FF2B5EF4-FFF2-40B4-BE49-F238E27FC236}">
              <a16:creationId xmlns:a16="http://schemas.microsoft.com/office/drawing/2014/main" id="{00000000-0008-0000-0800-00004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8" name="Text Box 75">
          <a:extLst>
            <a:ext uri="{FF2B5EF4-FFF2-40B4-BE49-F238E27FC236}">
              <a16:creationId xmlns:a16="http://schemas.microsoft.com/office/drawing/2014/main" id="{00000000-0008-0000-0800-00004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9" name="Text Box 76">
          <a:extLst>
            <a:ext uri="{FF2B5EF4-FFF2-40B4-BE49-F238E27FC236}">
              <a16:creationId xmlns:a16="http://schemas.microsoft.com/office/drawing/2014/main" id="{00000000-0008-0000-0800-00004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0" name="Text Box 77">
          <a:extLst>
            <a:ext uri="{FF2B5EF4-FFF2-40B4-BE49-F238E27FC236}">
              <a16:creationId xmlns:a16="http://schemas.microsoft.com/office/drawing/2014/main" id="{00000000-0008-0000-0800-00004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1" name="Text Box 78">
          <a:extLst>
            <a:ext uri="{FF2B5EF4-FFF2-40B4-BE49-F238E27FC236}">
              <a16:creationId xmlns:a16="http://schemas.microsoft.com/office/drawing/2014/main" id="{00000000-0008-0000-0800-00004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2" name="Text Box 79">
          <a:extLst>
            <a:ext uri="{FF2B5EF4-FFF2-40B4-BE49-F238E27FC236}">
              <a16:creationId xmlns:a16="http://schemas.microsoft.com/office/drawing/2014/main" id="{00000000-0008-0000-0800-00004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3" name="Text Box 80">
          <a:extLst>
            <a:ext uri="{FF2B5EF4-FFF2-40B4-BE49-F238E27FC236}">
              <a16:creationId xmlns:a16="http://schemas.microsoft.com/office/drawing/2014/main" id="{00000000-0008-0000-0800-00004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4" name="Text Box 81">
          <a:extLst>
            <a:ext uri="{FF2B5EF4-FFF2-40B4-BE49-F238E27FC236}">
              <a16:creationId xmlns:a16="http://schemas.microsoft.com/office/drawing/2014/main" id="{00000000-0008-0000-0800-00004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5" name="Text Box 82">
          <a:extLst>
            <a:ext uri="{FF2B5EF4-FFF2-40B4-BE49-F238E27FC236}">
              <a16:creationId xmlns:a16="http://schemas.microsoft.com/office/drawing/2014/main" id="{00000000-0008-0000-0800-00004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6" name="Text Box 83">
          <a:extLst>
            <a:ext uri="{FF2B5EF4-FFF2-40B4-BE49-F238E27FC236}">
              <a16:creationId xmlns:a16="http://schemas.microsoft.com/office/drawing/2014/main" id="{00000000-0008-0000-0800-00004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7" name="Text Box 84">
          <a:extLst>
            <a:ext uri="{FF2B5EF4-FFF2-40B4-BE49-F238E27FC236}">
              <a16:creationId xmlns:a16="http://schemas.microsoft.com/office/drawing/2014/main" id="{00000000-0008-0000-0800-00004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8" name="Text Box 85">
          <a:extLst>
            <a:ext uri="{FF2B5EF4-FFF2-40B4-BE49-F238E27FC236}">
              <a16:creationId xmlns:a16="http://schemas.microsoft.com/office/drawing/2014/main" id="{00000000-0008-0000-0800-00004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9" name="Text Box 86">
          <a:extLst>
            <a:ext uri="{FF2B5EF4-FFF2-40B4-BE49-F238E27FC236}">
              <a16:creationId xmlns:a16="http://schemas.microsoft.com/office/drawing/2014/main" id="{00000000-0008-0000-0800-00004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0" name="Text Box 87">
          <a:extLst>
            <a:ext uri="{FF2B5EF4-FFF2-40B4-BE49-F238E27FC236}">
              <a16:creationId xmlns:a16="http://schemas.microsoft.com/office/drawing/2014/main" id="{00000000-0008-0000-0800-00004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1" name="Text Box 88">
          <a:extLst>
            <a:ext uri="{FF2B5EF4-FFF2-40B4-BE49-F238E27FC236}">
              <a16:creationId xmlns:a16="http://schemas.microsoft.com/office/drawing/2014/main" id="{00000000-0008-0000-0800-00004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2" name="Text Box 89">
          <a:extLst>
            <a:ext uri="{FF2B5EF4-FFF2-40B4-BE49-F238E27FC236}">
              <a16:creationId xmlns:a16="http://schemas.microsoft.com/office/drawing/2014/main" id="{00000000-0008-0000-0800-00005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3" name="Text Box 90">
          <a:extLst>
            <a:ext uri="{FF2B5EF4-FFF2-40B4-BE49-F238E27FC236}">
              <a16:creationId xmlns:a16="http://schemas.microsoft.com/office/drawing/2014/main" id="{00000000-0008-0000-0800-00005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4" name="Text Box 91">
          <a:extLst>
            <a:ext uri="{FF2B5EF4-FFF2-40B4-BE49-F238E27FC236}">
              <a16:creationId xmlns:a16="http://schemas.microsoft.com/office/drawing/2014/main" id="{00000000-0008-0000-0800-00005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5" name="Text Box 92">
          <a:extLst>
            <a:ext uri="{FF2B5EF4-FFF2-40B4-BE49-F238E27FC236}">
              <a16:creationId xmlns:a16="http://schemas.microsoft.com/office/drawing/2014/main" id="{00000000-0008-0000-0800-00005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6" name="Text Box 93">
          <a:extLst>
            <a:ext uri="{FF2B5EF4-FFF2-40B4-BE49-F238E27FC236}">
              <a16:creationId xmlns:a16="http://schemas.microsoft.com/office/drawing/2014/main" id="{00000000-0008-0000-0800-00005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7" name="Text Box 94">
          <a:extLst>
            <a:ext uri="{FF2B5EF4-FFF2-40B4-BE49-F238E27FC236}">
              <a16:creationId xmlns:a16="http://schemas.microsoft.com/office/drawing/2014/main" id="{00000000-0008-0000-0800-00005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8" name="Text Box 95">
          <a:extLst>
            <a:ext uri="{FF2B5EF4-FFF2-40B4-BE49-F238E27FC236}">
              <a16:creationId xmlns:a16="http://schemas.microsoft.com/office/drawing/2014/main" id="{00000000-0008-0000-0800-00005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9" name="Text Box 96">
          <a:extLst>
            <a:ext uri="{FF2B5EF4-FFF2-40B4-BE49-F238E27FC236}">
              <a16:creationId xmlns:a16="http://schemas.microsoft.com/office/drawing/2014/main" id="{00000000-0008-0000-0800-00005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60" name="Text Box 97">
          <a:extLst>
            <a:ext uri="{FF2B5EF4-FFF2-40B4-BE49-F238E27FC236}">
              <a16:creationId xmlns:a16="http://schemas.microsoft.com/office/drawing/2014/main" id="{00000000-0008-0000-0800-00005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1" name="Text Box 100">
          <a:extLst>
            <a:ext uri="{FF2B5EF4-FFF2-40B4-BE49-F238E27FC236}">
              <a16:creationId xmlns:a16="http://schemas.microsoft.com/office/drawing/2014/main" id="{00000000-0008-0000-0800-00005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2" name="Text Box 101">
          <a:extLst>
            <a:ext uri="{FF2B5EF4-FFF2-40B4-BE49-F238E27FC236}">
              <a16:creationId xmlns:a16="http://schemas.microsoft.com/office/drawing/2014/main" id="{00000000-0008-0000-0800-00005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3" name="Text Box 102">
          <a:extLst>
            <a:ext uri="{FF2B5EF4-FFF2-40B4-BE49-F238E27FC236}">
              <a16:creationId xmlns:a16="http://schemas.microsoft.com/office/drawing/2014/main" id="{00000000-0008-0000-0800-00005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4" name="Text Box 103">
          <a:extLst>
            <a:ext uri="{FF2B5EF4-FFF2-40B4-BE49-F238E27FC236}">
              <a16:creationId xmlns:a16="http://schemas.microsoft.com/office/drawing/2014/main" id="{00000000-0008-0000-0800-00005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5" name="Text Box 104">
          <a:extLst>
            <a:ext uri="{FF2B5EF4-FFF2-40B4-BE49-F238E27FC236}">
              <a16:creationId xmlns:a16="http://schemas.microsoft.com/office/drawing/2014/main" id="{00000000-0008-0000-0800-00005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6" name="Text Box 105">
          <a:extLst>
            <a:ext uri="{FF2B5EF4-FFF2-40B4-BE49-F238E27FC236}">
              <a16:creationId xmlns:a16="http://schemas.microsoft.com/office/drawing/2014/main" id="{00000000-0008-0000-0800-00005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7" name="Text Box 106">
          <a:extLst>
            <a:ext uri="{FF2B5EF4-FFF2-40B4-BE49-F238E27FC236}">
              <a16:creationId xmlns:a16="http://schemas.microsoft.com/office/drawing/2014/main" id="{00000000-0008-0000-0800-00005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8" name="Text Box 107">
          <a:extLst>
            <a:ext uri="{FF2B5EF4-FFF2-40B4-BE49-F238E27FC236}">
              <a16:creationId xmlns:a16="http://schemas.microsoft.com/office/drawing/2014/main" id="{00000000-0008-0000-0800-00006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9" name="Text Box 108">
          <a:extLst>
            <a:ext uri="{FF2B5EF4-FFF2-40B4-BE49-F238E27FC236}">
              <a16:creationId xmlns:a16="http://schemas.microsoft.com/office/drawing/2014/main" id="{00000000-0008-0000-0800-00006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0" name="Text Box 109">
          <a:extLst>
            <a:ext uri="{FF2B5EF4-FFF2-40B4-BE49-F238E27FC236}">
              <a16:creationId xmlns:a16="http://schemas.microsoft.com/office/drawing/2014/main" id="{00000000-0008-0000-0800-00006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1" name="Text Box 110">
          <a:extLst>
            <a:ext uri="{FF2B5EF4-FFF2-40B4-BE49-F238E27FC236}">
              <a16:creationId xmlns:a16="http://schemas.microsoft.com/office/drawing/2014/main" id="{00000000-0008-0000-0800-00006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2" name="Text Box 111">
          <a:extLst>
            <a:ext uri="{FF2B5EF4-FFF2-40B4-BE49-F238E27FC236}">
              <a16:creationId xmlns:a16="http://schemas.microsoft.com/office/drawing/2014/main" id="{00000000-0008-0000-0800-00006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3" name="Text Box 119">
          <a:extLst>
            <a:ext uri="{FF2B5EF4-FFF2-40B4-BE49-F238E27FC236}">
              <a16:creationId xmlns:a16="http://schemas.microsoft.com/office/drawing/2014/main" id="{00000000-0008-0000-0800-00006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4" name="Text Box 120">
          <a:extLst>
            <a:ext uri="{FF2B5EF4-FFF2-40B4-BE49-F238E27FC236}">
              <a16:creationId xmlns:a16="http://schemas.microsoft.com/office/drawing/2014/main" id="{00000000-0008-0000-0800-00006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5" name="Text Box 121">
          <a:extLst>
            <a:ext uri="{FF2B5EF4-FFF2-40B4-BE49-F238E27FC236}">
              <a16:creationId xmlns:a16="http://schemas.microsoft.com/office/drawing/2014/main" id="{00000000-0008-0000-0800-00006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6" name="Text Box 122">
          <a:extLst>
            <a:ext uri="{FF2B5EF4-FFF2-40B4-BE49-F238E27FC236}">
              <a16:creationId xmlns:a16="http://schemas.microsoft.com/office/drawing/2014/main" id="{00000000-0008-0000-0800-00006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7" name="Text Box 123">
          <a:extLst>
            <a:ext uri="{FF2B5EF4-FFF2-40B4-BE49-F238E27FC236}">
              <a16:creationId xmlns:a16="http://schemas.microsoft.com/office/drawing/2014/main" id="{00000000-0008-0000-0800-00006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8" name="Text Box 124">
          <a:extLst>
            <a:ext uri="{FF2B5EF4-FFF2-40B4-BE49-F238E27FC236}">
              <a16:creationId xmlns:a16="http://schemas.microsoft.com/office/drawing/2014/main" id="{00000000-0008-0000-0800-00006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9" name="Text Box 125">
          <a:extLst>
            <a:ext uri="{FF2B5EF4-FFF2-40B4-BE49-F238E27FC236}">
              <a16:creationId xmlns:a16="http://schemas.microsoft.com/office/drawing/2014/main" id="{00000000-0008-0000-0800-00006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0" name="Text Box 126">
          <a:extLst>
            <a:ext uri="{FF2B5EF4-FFF2-40B4-BE49-F238E27FC236}">
              <a16:creationId xmlns:a16="http://schemas.microsoft.com/office/drawing/2014/main" id="{00000000-0008-0000-0800-00006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1" name="Text Box 127">
          <a:extLst>
            <a:ext uri="{FF2B5EF4-FFF2-40B4-BE49-F238E27FC236}">
              <a16:creationId xmlns:a16="http://schemas.microsoft.com/office/drawing/2014/main" id="{00000000-0008-0000-0800-00006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2" name="Text Box 128">
          <a:extLst>
            <a:ext uri="{FF2B5EF4-FFF2-40B4-BE49-F238E27FC236}">
              <a16:creationId xmlns:a16="http://schemas.microsoft.com/office/drawing/2014/main" id="{00000000-0008-0000-0800-00006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3" name="Text Box 129">
          <a:extLst>
            <a:ext uri="{FF2B5EF4-FFF2-40B4-BE49-F238E27FC236}">
              <a16:creationId xmlns:a16="http://schemas.microsoft.com/office/drawing/2014/main" id="{00000000-0008-0000-0800-00006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4" name="Text Box 130">
          <a:extLst>
            <a:ext uri="{FF2B5EF4-FFF2-40B4-BE49-F238E27FC236}">
              <a16:creationId xmlns:a16="http://schemas.microsoft.com/office/drawing/2014/main" id="{00000000-0008-0000-0800-00007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5" name="Text Box 133">
          <a:extLst>
            <a:ext uri="{FF2B5EF4-FFF2-40B4-BE49-F238E27FC236}">
              <a16:creationId xmlns:a16="http://schemas.microsoft.com/office/drawing/2014/main" id="{00000000-0008-0000-0800-00007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6" name="Text Box 134">
          <a:extLst>
            <a:ext uri="{FF2B5EF4-FFF2-40B4-BE49-F238E27FC236}">
              <a16:creationId xmlns:a16="http://schemas.microsoft.com/office/drawing/2014/main" id="{00000000-0008-0000-0800-00007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7" name="Text Box 135">
          <a:extLst>
            <a:ext uri="{FF2B5EF4-FFF2-40B4-BE49-F238E27FC236}">
              <a16:creationId xmlns:a16="http://schemas.microsoft.com/office/drawing/2014/main" id="{00000000-0008-0000-0800-00007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8" name="Text Box 136">
          <a:extLst>
            <a:ext uri="{FF2B5EF4-FFF2-40B4-BE49-F238E27FC236}">
              <a16:creationId xmlns:a16="http://schemas.microsoft.com/office/drawing/2014/main" id="{00000000-0008-0000-0800-00007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9" name="Text Box 137">
          <a:extLst>
            <a:ext uri="{FF2B5EF4-FFF2-40B4-BE49-F238E27FC236}">
              <a16:creationId xmlns:a16="http://schemas.microsoft.com/office/drawing/2014/main" id="{00000000-0008-0000-0800-00007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0" name="Text Box 138">
          <a:extLst>
            <a:ext uri="{FF2B5EF4-FFF2-40B4-BE49-F238E27FC236}">
              <a16:creationId xmlns:a16="http://schemas.microsoft.com/office/drawing/2014/main" id="{00000000-0008-0000-0800-00007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1" name="Text Box 139">
          <a:extLst>
            <a:ext uri="{FF2B5EF4-FFF2-40B4-BE49-F238E27FC236}">
              <a16:creationId xmlns:a16="http://schemas.microsoft.com/office/drawing/2014/main" id="{00000000-0008-0000-0800-00007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2" name="Text Box 140">
          <a:extLst>
            <a:ext uri="{FF2B5EF4-FFF2-40B4-BE49-F238E27FC236}">
              <a16:creationId xmlns:a16="http://schemas.microsoft.com/office/drawing/2014/main" id="{00000000-0008-0000-0800-00007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3" name="Text Box 141">
          <a:extLst>
            <a:ext uri="{FF2B5EF4-FFF2-40B4-BE49-F238E27FC236}">
              <a16:creationId xmlns:a16="http://schemas.microsoft.com/office/drawing/2014/main" id="{00000000-0008-0000-0800-00007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4" name="Text Box 142">
          <a:extLst>
            <a:ext uri="{FF2B5EF4-FFF2-40B4-BE49-F238E27FC236}">
              <a16:creationId xmlns:a16="http://schemas.microsoft.com/office/drawing/2014/main" id="{00000000-0008-0000-0800-00007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5" name="Text Box 143">
          <a:extLst>
            <a:ext uri="{FF2B5EF4-FFF2-40B4-BE49-F238E27FC236}">
              <a16:creationId xmlns:a16="http://schemas.microsoft.com/office/drawing/2014/main" id="{00000000-0008-0000-0800-00007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6" name="Text Box 144">
          <a:extLst>
            <a:ext uri="{FF2B5EF4-FFF2-40B4-BE49-F238E27FC236}">
              <a16:creationId xmlns:a16="http://schemas.microsoft.com/office/drawing/2014/main" id="{00000000-0008-0000-0800-00007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7" name="Text Box 145">
          <a:extLst>
            <a:ext uri="{FF2B5EF4-FFF2-40B4-BE49-F238E27FC236}">
              <a16:creationId xmlns:a16="http://schemas.microsoft.com/office/drawing/2014/main" id="{00000000-0008-0000-0800-00007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8" name="Text Box 146">
          <a:extLst>
            <a:ext uri="{FF2B5EF4-FFF2-40B4-BE49-F238E27FC236}">
              <a16:creationId xmlns:a16="http://schemas.microsoft.com/office/drawing/2014/main" id="{00000000-0008-0000-0800-00007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9" name="Text Box 147">
          <a:extLst>
            <a:ext uri="{FF2B5EF4-FFF2-40B4-BE49-F238E27FC236}">
              <a16:creationId xmlns:a16="http://schemas.microsoft.com/office/drawing/2014/main" id="{00000000-0008-0000-0800-00007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0" name="Text Box 148">
          <a:extLst>
            <a:ext uri="{FF2B5EF4-FFF2-40B4-BE49-F238E27FC236}">
              <a16:creationId xmlns:a16="http://schemas.microsoft.com/office/drawing/2014/main" id="{00000000-0008-0000-0800-00008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1" name="Text Box 149">
          <a:extLst>
            <a:ext uri="{FF2B5EF4-FFF2-40B4-BE49-F238E27FC236}">
              <a16:creationId xmlns:a16="http://schemas.microsoft.com/office/drawing/2014/main" id="{00000000-0008-0000-0800-00008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2" name="Text Box 150">
          <a:extLst>
            <a:ext uri="{FF2B5EF4-FFF2-40B4-BE49-F238E27FC236}">
              <a16:creationId xmlns:a16="http://schemas.microsoft.com/office/drawing/2014/main" id="{00000000-0008-0000-0800-00008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3" name="Text Box 151">
          <a:extLst>
            <a:ext uri="{FF2B5EF4-FFF2-40B4-BE49-F238E27FC236}">
              <a16:creationId xmlns:a16="http://schemas.microsoft.com/office/drawing/2014/main" id="{00000000-0008-0000-0800-00008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4" name="Text Box 152">
          <a:extLst>
            <a:ext uri="{FF2B5EF4-FFF2-40B4-BE49-F238E27FC236}">
              <a16:creationId xmlns:a16="http://schemas.microsoft.com/office/drawing/2014/main" id="{00000000-0008-0000-0800-00008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5" name="Text Box 153">
          <a:extLst>
            <a:ext uri="{FF2B5EF4-FFF2-40B4-BE49-F238E27FC236}">
              <a16:creationId xmlns:a16="http://schemas.microsoft.com/office/drawing/2014/main" id="{00000000-0008-0000-0800-00008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6" name="Text Box 154">
          <a:extLst>
            <a:ext uri="{FF2B5EF4-FFF2-40B4-BE49-F238E27FC236}">
              <a16:creationId xmlns:a16="http://schemas.microsoft.com/office/drawing/2014/main" id="{00000000-0008-0000-0800-00008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7" name="Text Box 155">
          <a:extLst>
            <a:ext uri="{FF2B5EF4-FFF2-40B4-BE49-F238E27FC236}">
              <a16:creationId xmlns:a16="http://schemas.microsoft.com/office/drawing/2014/main" id="{00000000-0008-0000-0800-00008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8" name="Text Box 156">
          <a:extLst>
            <a:ext uri="{FF2B5EF4-FFF2-40B4-BE49-F238E27FC236}">
              <a16:creationId xmlns:a16="http://schemas.microsoft.com/office/drawing/2014/main" id="{00000000-0008-0000-0800-00008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9" name="Text Box 157">
          <a:extLst>
            <a:ext uri="{FF2B5EF4-FFF2-40B4-BE49-F238E27FC236}">
              <a16:creationId xmlns:a16="http://schemas.microsoft.com/office/drawing/2014/main" id="{00000000-0008-0000-0800-00008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0" name="Text Box 158">
          <a:extLst>
            <a:ext uri="{FF2B5EF4-FFF2-40B4-BE49-F238E27FC236}">
              <a16:creationId xmlns:a16="http://schemas.microsoft.com/office/drawing/2014/main" id="{00000000-0008-0000-0800-00008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1" name="Text Box 159">
          <a:extLst>
            <a:ext uri="{FF2B5EF4-FFF2-40B4-BE49-F238E27FC236}">
              <a16:creationId xmlns:a16="http://schemas.microsoft.com/office/drawing/2014/main" id="{00000000-0008-0000-0800-00008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2" name="Text Box 160">
          <a:extLst>
            <a:ext uri="{FF2B5EF4-FFF2-40B4-BE49-F238E27FC236}">
              <a16:creationId xmlns:a16="http://schemas.microsoft.com/office/drawing/2014/main" id="{00000000-0008-0000-0800-00008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3" name="Text Box 161">
          <a:extLst>
            <a:ext uri="{FF2B5EF4-FFF2-40B4-BE49-F238E27FC236}">
              <a16:creationId xmlns:a16="http://schemas.microsoft.com/office/drawing/2014/main" id="{00000000-0008-0000-0800-00008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4" name="Text Box 162">
          <a:extLst>
            <a:ext uri="{FF2B5EF4-FFF2-40B4-BE49-F238E27FC236}">
              <a16:creationId xmlns:a16="http://schemas.microsoft.com/office/drawing/2014/main" id="{00000000-0008-0000-0800-00008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5" name="Text Box 163">
          <a:extLst>
            <a:ext uri="{FF2B5EF4-FFF2-40B4-BE49-F238E27FC236}">
              <a16:creationId xmlns:a16="http://schemas.microsoft.com/office/drawing/2014/main" id="{00000000-0008-0000-0800-00008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6" name="Text Box 164">
          <a:extLst>
            <a:ext uri="{FF2B5EF4-FFF2-40B4-BE49-F238E27FC236}">
              <a16:creationId xmlns:a16="http://schemas.microsoft.com/office/drawing/2014/main" id="{00000000-0008-0000-0800-00009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7" name="Text Box 165">
          <a:extLst>
            <a:ext uri="{FF2B5EF4-FFF2-40B4-BE49-F238E27FC236}">
              <a16:creationId xmlns:a16="http://schemas.microsoft.com/office/drawing/2014/main" id="{00000000-0008-0000-0800-00009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8" name="Text Box 166">
          <a:extLst>
            <a:ext uri="{FF2B5EF4-FFF2-40B4-BE49-F238E27FC236}">
              <a16:creationId xmlns:a16="http://schemas.microsoft.com/office/drawing/2014/main" id="{00000000-0008-0000-0800-00009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9" name="Text Box 167">
          <a:extLst>
            <a:ext uri="{FF2B5EF4-FFF2-40B4-BE49-F238E27FC236}">
              <a16:creationId xmlns:a16="http://schemas.microsoft.com/office/drawing/2014/main" id="{00000000-0008-0000-0800-00009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0" name="Text Box 168">
          <a:extLst>
            <a:ext uri="{FF2B5EF4-FFF2-40B4-BE49-F238E27FC236}">
              <a16:creationId xmlns:a16="http://schemas.microsoft.com/office/drawing/2014/main" id="{00000000-0008-0000-0800-00009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1" name="Text Box 169">
          <a:extLst>
            <a:ext uri="{FF2B5EF4-FFF2-40B4-BE49-F238E27FC236}">
              <a16:creationId xmlns:a16="http://schemas.microsoft.com/office/drawing/2014/main" id="{00000000-0008-0000-0800-00009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2" name="Text Box 170">
          <a:extLst>
            <a:ext uri="{FF2B5EF4-FFF2-40B4-BE49-F238E27FC236}">
              <a16:creationId xmlns:a16="http://schemas.microsoft.com/office/drawing/2014/main" id="{00000000-0008-0000-0800-00009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3" name="Text Box 171">
          <a:extLst>
            <a:ext uri="{FF2B5EF4-FFF2-40B4-BE49-F238E27FC236}">
              <a16:creationId xmlns:a16="http://schemas.microsoft.com/office/drawing/2014/main" id="{00000000-0008-0000-0800-00009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4" name="Text Box 172">
          <a:extLst>
            <a:ext uri="{FF2B5EF4-FFF2-40B4-BE49-F238E27FC236}">
              <a16:creationId xmlns:a16="http://schemas.microsoft.com/office/drawing/2014/main" id="{00000000-0008-0000-0800-00009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5" name="Text Box 173">
          <a:extLst>
            <a:ext uri="{FF2B5EF4-FFF2-40B4-BE49-F238E27FC236}">
              <a16:creationId xmlns:a16="http://schemas.microsoft.com/office/drawing/2014/main" id="{00000000-0008-0000-0800-00009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6" name="Text Box 174">
          <a:extLst>
            <a:ext uri="{FF2B5EF4-FFF2-40B4-BE49-F238E27FC236}">
              <a16:creationId xmlns:a16="http://schemas.microsoft.com/office/drawing/2014/main" id="{00000000-0008-0000-0800-00009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7" name="Text Box 175">
          <a:extLst>
            <a:ext uri="{FF2B5EF4-FFF2-40B4-BE49-F238E27FC236}">
              <a16:creationId xmlns:a16="http://schemas.microsoft.com/office/drawing/2014/main" id="{00000000-0008-0000-0800-00009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8" name="Text Box 176">
          <a:extLst>
            <a:ext uri="{FF2B5EF4-FFF2-40B4-BE49-F238E27FC236}">
              <a16:creationId xmlns:a16="http://schemas.microsoft.com/office/drawing/2014/main" id="{00000000-0008-0000-0800-00009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9" name="Text Box 177">
          <a:extLst>
            <a:ext uri="{FF2B5EF4-FFF2-40B4-BE49-F238E27FC236}">
              <a16:creationId xmlns:a16="http://schemas.microsoft.com/office/drawing/2014/main" id="{00000000-0008-0000-0800-00009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0" name="Text Box 178">
          <a:extLst>
            <a:ext uri="{FF2B5EF4-FFF2-40B4-BE49-F238E27FC236}">
              <a16:creationId xmlns:a16="http://schemas.microsoft.com/office/drawing/2014/main" id="{00000000-0008-0000-0800-00009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1" name="Text Box 179">
          <a:extLst>
            <a:ext uri="{FF2B5EF4-FFF2-40B4-BE49-F238E27FC236}">
              <a16:creationId xmlns:a16="http://schemas.microsoft.com/office/drawing/2014/main" id="{00000000-0008-0000-0800-00009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2" name="Text Box 180">
          <a:extLst>
            <a:ext uri="{FF2B5EF4-FFF2-40B4-BE49-F238E27FC236}">
              <a16:creationId xmlns:a16="http://schemas.microsoft.com/office/drawing/2014/main" id="{00000000-0008-0000-0800-0000A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3" name="Text Box 181">
          <a:extLst>
            <a:ext uri="{FF2B5EF4-FFF2-40B4-BE49-F238E27FC236}">
              <a16:creationId xmlns:a16="http://schemas.microsoft.com/office/drawing/2014/main" id="{00000000-0008-0000-0800-0000A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4" name="Text Box 182">
          <a:extLst>
            <a:ext uri="{FF2B5EF4-FFF2-40B4-BE49-F238E27FC236}">
              <a16:creationId xmlns:a16="http://schemas.microsoft.com/office/drawing/2014/main" id="{00000000-0008-0000-0800-0000A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5" name="Text Box 183">
          <a:extLst>
            <a:ext uri="{FF2B5EF4-FFF2-40B4-BE49-F238E27FC236}">
              <a16:creationId xmlns:a16="http://schemas.microsoft.com/office/drawing/2014/main" id="{00000000-0008-0000-0800-0000A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6" name="Text Box 184">
          <a:extLst>
            <a:ext uri="{FF2B5EF4-FFF2-40B4-BE49-F238E27FC236}">
              <a16:creationId xmlns:a16="http://schemas.microsoft.com/office/drawing/2014/main" id="{00000000-0008-0000-0800-0000A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7" name="Text Box 185">
          <a:extLst>
            <a:ext uri="{FF2B5EF4-FFF2-40B4-BE49-F238E27FC236}">
              <a16:creationId xmlns:a16="http://schemas.microsoft.com/office/drawing/2014/main" id="{00000000-0008-0000-0800-0000A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8" name="Text Box 186">
          <a:extLst>
            <a:ext uri="{FF2B5EF4-FFF2-40B4-BE49-F238E27FC236}">
              <a16:creationId xmlns:a16="http://schemas.microsoft.com/office/drawing/2014/main" id="{00000000-0008-0000-0800-0000A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9" name="Text Box 187">
          <a:extLst>
            <a:ext uri="{FF2B5EF4-FFF2-40B4-BE49-F238E27FC236}">
              <a16:creationId xmlns:a16="http://schemas.microsoft.com/office/drawing/2014/main" id="{00000000-0008-0000-0800-0000A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0" name="Text Box 188">
          <a:extLst>
            <a:ext uri="{FF2B5EF4-FFF2-40B4-BE49-F238E27FC236}">
              <a16:creationId xmlns:a16="http://schemas.microsoft.com/office/drawing/2014/main" id="{00000000-0008-0000-0800-0000A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1" name="Text Box 189">
          <a:extLst>
            <a:ext uri="{FF2B5EF4-FFF2-40B4-BE49-F238E27FC236}">
              <a16:creationId xmlns:a16="http://schemas.microsoft.com/office/drawing/2014/main" id="{00000000-0008-0000-0800-0000A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2" name="Text Box 190">
          <a:extLst>
            <a:ext uri="{FF2B5EF4-FFF2-40B4-BE49-F238E27FC236}">
              <a16:creationId xmlns:a16="http://schemas.microsoft.com/office/drawing/2014/main" id="{00000000-0008-0000-0800-0000A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3" name="Text Box 191">
          <a:extLst>
            <a:ext uri="{FF2B5EF4-FFF2-40B4-BE49-F238E27FC236}">
              <a16:creationId xmlns:a16="http://schemas.microsoft.com/office/drawing/2014/main" id="{00000000-0008-0000-0800-0000A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4" name="Text Box 192">
          <a:extLst>
            <a:ext uri="{FF2B5EF4-FFF2-40B4-BE49-F238E27FC236}">
              <a16:creationId xmlns:a16="http://schemas.microsoft.com/office/drawing/2014/main" id="{00000000-0008-0000-0800-0000A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5" name="Text Box 193">
          <a:extLst>
            <a:ext uri="{FF2B5EF4-FFF2-40B4-BE49-F238E27FC236}">
              <a16:creationId xmlns:a16="http://schemas.microsoft.com/office/drawing/2014/main" id="{00000000-0008-0000-0800-0000A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6" name="Text Box 194">
          <a:extLst>
            <a:ext uri="{FF2B5EF4-FFF2-40B4-BE49-F238E27FC236}">
              <a16:creationId xmlns:a16="http://schemas.microsoft.com/office/drawing/2014/main" id="{00000000-0008-0000-0800-0000A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7" name="Text Box 195">
          <a:extLst>
            <a:ext uri="{FF2B5EF4-FFF2-40B4-BE49-F238E27FC236}">
              <a16:creationId xmlns:a16="http://schemas.microsoft.com/office/drawing/2014/main" id="{00000000-0008-0000-0800-0000A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8" name="Text Box 196">
          <a:extLst>
            <a:ext uri="{FF2B5EF4-FFF2-40B4-BE49-F238E27FC236}">
              <a16:creationId xmlns:a16="http://schemas.microsoft.com/office/drawing/2014/main" id="{00000000-0008-0000-0800-0000B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9" name="Text Box 197">
          <a:extLst>
            <a:ext uri="{FF2B5EF4-FFF2-40B4-BE49-F238E27FC236}">
              <a16:creationId xmlns:a16="http://schemas.microsoft.com/office/drawing/2014/main" id="{00000000-0008-0000-0800-0000B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0" name="Text Box 198">
          <a:extLst>
            <a:ext uri="{FF2B5EF4-FFF2-40B4-BE49-F238E27FC236}">
              <a16:creationId xmlns:a16="http://schemas.microsoft.com/office/drawing/2014/main" id="{00000000-0008-0000-0800-0000B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1" name="Text Box 199">
          <a:extLst>
            <a:ext uri="{FF2B5EF4-FFF2-40B4-BE49-F238E27FC236}">
              <a16:creationId xmlns:a16="http://schemas.microsoft.com/office/drawing/2014/main" id="{00000000-0008-0000-0800-0000B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2" name="Text Box 200">
          <a:extLst>
            <a:ext uri="{FF2B5EF4-FFF2-40B4-BE49-F238E27FC236}">
              <a16:creationId xmlns:a16="http://schemas.microsoft.com/office/drawing/2014/main" id="{00000000-0008-0000-0800-0000B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3" name="Text Box 201">
          <a:extLst>
            <a:ext uri="{FF2B5EF4-FFF2-40B4-BE49-F238E27FC236}">
              <a16:creationId xmlns:a16="http://schemas.microsoft.com/office/drawing/2014/main" id="{00000000-0008-0000-0800-0000B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4" name="Text Box 202">
          <a:extLst>
            <a:ext uri="{FF2B5EF4-FFF2-40B4-BE49-F238E27FC236}">
              <a16:creationId xmlns:a16="http://schemas.microsoft.com/office/drawing/2014/main" id="{00000000-0008-0000-0800-0000B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5" name="Text Box 203">
          <a:extLst>
            <a:ext uri="{FF2B5EF4-FFF2-40B4-BE49-F238E27FC236}">
              <a16:creationId xmlns:a16="http://schemas.microsoft.com/office/drawing/2014/main" id="{00000000-0008-0000-0800-0000B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6" name="Text Box 204">
          <a:extLst>
            <a:ext uri="{FF2B5EF4-FFF2-40B4-BE49-F238E27FC236}">
              <a16:creationId xmlns:a16="http://schemas.microsoft.com/office/drawing/2014/main" id="{00000000-0008-0000-0800-0000B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7" name="Text Box 205">
          <a:extLst>
            <a:ext uri="{FF2B5EF4-FFF2-40B4-BE49-F238E27FC236}">
              <a16:creationId xmlns:a16="http://schemas.microsoft.com/office/drawing/2014/main" id="{00000000-0008-0000-0800-0000B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8" name="Text Box 206">
          <a:extLst>
            <a:ext uri="{FF2B5EF4-FFF2-40B4-BE49-F238E27FC236}">
              <a16:creationId xmlns:a16="http://schemas.microsoft.com/office/drawing/2014/main" id="{00000000-0008-0000-0800-0000B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9" name="Text Box 207">
          <a:extLst>
            <a:ext uri="{FF2B5EF4-FFF2-40B4-BE49-F238E27FC236}">
              <a16:creationId xmlns:a16="http://schemas.microsoft.com/office/drawing/2014/main" id="{00000000-0008-0000-0800-0000B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0" name="Text Box 208">
          <a:extLst>
            <a:ext uri="{FF2B5EF4-FFF2-40B4-BE49-F238E27FC236}">
              <a16:creationId xmlns:a16="http://schemas.microsoft.com/office/drawing/2014/main" id="{00000000-0008-0000-0800-0000B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1" name="Text Box 209">
          <a:extLst>
            <a:ext uri="{FF2B5EF4-FFF2-40B4-BE49-F238E27FC236}">
              <a16:creationId xmlns:a16="http://schemas.microsoft.com/office/drawing/2014/main" id="{00000000-0008-0000-0800-0000B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2" name="Text Box 210">
          <a:extLst>
            <a:ext uri="{FF2B5EF4-FFF2-40B4-BE49-F238E27FC236}">
              <a16:creationId xmlns:a16="http://schemas.microsoft.com/office/drawing/2014/main" id="{00000000-0008-0000-0800-0000B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3" name="Text Box 211">
          <a:extLst>
            <a:ext uri="{FF2B5EF4-FFF2-40B4-BE49-F238E27FC236}">
              <a16:creationId xmlns:a16="http://schemas.microsoft.com/office/drawing/2014/main" id="{00000000-0008-0000-0800-0000B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4" name="Text Box 212">
          <a:extLst>
            <a:ext uri="{FF2B5EF4-FFF2-40B4-BE49-F238E27FC236}">
              <a16:creationId xmlns:a16="http://schemas.microsoft.com/office/drawing/2014/main" id="{00000000-0008-0000-0800-0000C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5" name="Text Box 213">
          <a:extLst>
            <a:ext uri="{FF2B5EF4-FFF2-40B4-BE49-F238E27FC236}">
              <a16:creationId xmlns:a16="http://schemas.microsoft.com/office/drawing/2014/main" id="{00000000-0008-0000-0800-0000C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6" name="Text Box 214">
          <a:extLst>
            <a:ext uri="{FF2B5EF4-FFF2-40B4-BE49-F238E27FC236}">
              <a16:creationId xmlns:a16="http://schemas.microsoft.com/office/drawing/2014/main" id="{00000000-0008-0000-0800-0000C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7" name="Text Box 215">
          <a:extLst>
            <a:ext uri="{FF2B5EF4-FFF2-40B4-BE49-F238E27FC236}">
              <a16:creationId xmlns:a16="http://schemas.microsoft.com/office/drawing/2014/main" id="{00000000-0008-0000-0800-0000C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8" name="Text Box 216">
          <a:extLst>
            <a:ext uri="{FF2B5EF4-FFF2-40B4-BE49-F238E27FC236}">
              <a16:creationId xmlns:a16="http://schemas.microsoft.com/office/drawing/2014/main" id="{00000000-0008-0000-0800-0000C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9" name="Text Box 217">
          <a:extLst>
            <a:ext uri="{FF2B5EF4-FFF2-40B4-BE49-F238E27FC236}">
              <a16:creationId xmlns:a16="http://schemas.microsoft.com/office/drawing/2014/main" id="{00000000-0008-0000-0800-0000C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0" name="Text Box 218">
          <a:extLst>
            <a:ext uri="{FF2B5EF4-FFF2-40B4-BE49-F238E27FC236}">
              <a16:creationId xmlns:a16="http://schemas.microsoft.com/office/drawing/2014/main" id="{00000000-0008-0000-0800-0000C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1" name="Text Box 219">
          <a:extLst>
            <a:ext uri="{FF2B5EF4-FFF2-40B4-BE49-F238E27FC236}">
              <a16:creationId xmlns:a16="http://schemas.microsoft.com/office/drawing/2014/main" id="{00000000-0008-0000-0800-0000C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2" name="Text Box 220">
          <a:extLst>
            <a:ext uri="{FF2B5EF4-FFF2-40B4-BE49-F238E27FC236}">
              <a16:creationId xmlns:a16="http://schemas.microsoft.com/office/drawing/2014/main" id="{00000000-0008-0000-0800-0000C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3" name="Text Box 221">
          <a:extLst>
            <a:ext uri="{FF2B5EF4-FFF2-40B4-BE49-F238E27FC236}">
              <a16:creationId xmlns:a16="http://schemas.microsoft.com/office/drawing/2014/main" id="{00000000-0008-0000-0800-0000C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4" name="Text Box 222">
          <a:extLst>
            <a:ext uri="{FF2B5EF4-FFF2-40B4-BE49-F238E27FC236}">
              <a16:creationId xmlns:a16="http://schemas.microsoft.com/office/drawing/2014/main" id="{00000000-0008-0000-0800-0000C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5" name="Text Box 223">
          <a:extLst>
            <a:ext uri="{FF2B5EF4-FFF2-40B4-BE49-F238E27FC236}">
              <a16:creationId xmlns:a16="http://schemas.microsoft.com/office/drawing/2014/main" id="{00000000-0008-0000-0800-0000C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6" name="Text Box 224">
          <a:extLst>
            <a:ext uri="{FF2B5EF4-FFF2-40B4-BE49-F238E27FC236}">
              <a16:creationId xmlns:a16="http://schemas.microsoft.com/office/drawing/2014/main" id="{00000000-0008-0000-0800-0000C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7" name="Text Box 225">
          <a:extLst>
            <a:ext uri="{FF2B5EF4-FFF2-40B4-BE49-F238E27FC236}">
              <a16:creationId xmlns:a16="http://schemas.microsoft.com/office/drawing/2014/main" id="{00000000-0008-0000-0800-0000C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8" name="Text Box 226">
          <a:extLst>
            <a:ext uri="{FF2B5EF4-FFF2-40B4-BE49-F238E27FC236}">
              <a16:creationId xmlns:a16="http://schemas.microsoft.com/office/drawing/2014/main" id="{00000000-0008-0000-0800-0000C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79" name="Text Box 227">
          <a:extLst>
            <a:ext uri="{FF2B5EF4-FFF2-40B4-BE49-F238E27FC236}">
              <a16:creationId xmlns:a16="http://schemas.microsoft.com/office/drawing/2014/main" id="{00000000-0008-0000-0800-0000C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0" name="Text Box 228">
          <a:extLst>
            <a:ext uri="{FF2B5EF4-FFF2-40B4-BE49-F238E27FC236}">
              <a16:creationId xmlns:a16="http://schemas.microsoft.com/office/drawing/2014/main" id="{00000000-0008-0000-0800-0000D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1" name="Text Box 229">
          <a:extLst>
            <a:ext uri="{FF2B5EF4-FFF2-40B4-BE49-F238E27FC236}">
              <a16:creationId xmlns:a16="http://schemas.microsoft.com/office/drawing/2014/main" id="{00000000-0008-0000-0800-0000D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2" name="Text Box 230">
          <a:extLst>
            <a:ext uri="{FF2B5EF4-FFF2-40B4-BE49-F238E27FC236}">
              <a16:creationId xmlns:a16="http://schemas.microsoft.com/office/drawing/2014/main" id="{00000000-0008-0000-0800-0000D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3" name="Text Box 231">
          <a:extLst>
            <a:ext uri="{FF2B5EF4-FFF2-40B4-BE49-F238E27FC236}">
              <a16:creationId xmlns:a16="http://schemas.microsoft.com/office/drawing/2014/main" id="{00000000-0008-0000-0800-0000D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4" name="Text Box 232">
          <a:extLst>
            <a:ext uri="{FF2B5EF4-FFF2-40B4-BE49-F238E27FC236}">
              <a16:creationId xmlns:a16="http://schemas.microsoft.com/office/drawing/2014/main" id="{00000000-0008-0000-0800-0000D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5" name="Text Box 233">
          <a:extLst>
            <a:ext uri="{FF2B5EF4-FFF2-40B4-BE49-F238E27FC236}">
              <a16:creationId xmlns:a16="http://schemas.microsoft.com/office/drawing/2014/main" id="{00000000-0008-0000-0800-0000D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6" name="Text Box 234">
          <a:extLst>
            <a:ext uri="{FF2B5EF4-FFF2-40B4-BE49-F238E27FC236}">
              <a16:creationId xmlns:a16="http://schemas.microsoft.com/office/drawing/2014/main" id="{00000000-0008-0000-0800-0000D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7" name="Text Box 235">
          <a:extLst>
            <a:ext uri="{FF2B5EF4-FFF2-40B4-BE49-F238E27FC236}">
              <a16:creationId xmlns:a16="http://schemas.microsoft.com/office/drawing/2014/main" id="{00000000-0008-0000-0800-0000D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8" name="Text Box 236">
          <a:extLst>
            <a:ext uri="{FF2B5EF4-FFF2-40B4-BE49-F238E27FC236}">
              <a16:creationId xmlns:a16="http://schemas.microsoft.com/office/drawing/2014/main" id="{00000000-0008-0000-0800-0000D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9" name="Text Box 237">
          <a:extLst>
            <a:ext uri="{FF2B5EF4-FFF2-40B4-BE49-F238E27FC236}">
              <a16:creationId xmlns:a16="http://schemas.microsoft.com/office/drawing/2014/main" id="{00000000-0008-0000-0800-0000D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0" name="Text Box 238">
          <a:extLst>
            <a:ext uri="{FF2B5EF4-FFF2-40B4-BE49-F238E27FC236}">
              <a16:creationId xmlns:a16="http://schemas.microsoft.com/office/drawing/2014/main" id="{00000000-0008-0000-0800-0000D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1" name="Text Box 239">
          <a:extLst>
            <a:ext uri="{FF2B5EF4-FFF2-40B4-BE49-F238E27FC236}">
              <a16:creationId xmlns:a16="http://schemas.microsoft.com/office/drawing/2014/main" id="{00000000-0008-0000-0800-0000D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2" name="Text Box 240">
          <a:extLst>
            <a:ext uri="{FF2B5EF4-FFF2-40B4-BE49-F238E27FC236}">
              <a16:creationId xmlns:a16="http://schemas.microsoft.com/office/drawing/2014/main" id="{00000000-0008-0000-0800-0000D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3" name="Text Box 241">
          <a:extLst>
            <a:ext uri="{FF2B5EF4-FFF2-40B4-BE49-F238E27FC236}">
              <a16:creationId xmlns:a16="http://schemas.microsoft.com/office/drawing/2014/main" id="{00000000-0008-0000-0800-0000D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4" name="Text Box 242">
          <a:extLst>
            <a:ext uri="{FF2B5EF4-FFF2-40B4-BE49-F238E27FC236}">
              <a16:creationId xmlns:a16="http://schemas.microsoft.com/office/drawing/2014/main" id="{00000000-0008-0000-0800-0000D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5" name="Text Box 243">
          <a:extLst>
            <a:ext uri="{FF2B5EF4-FFF2-40B4-BE49-F238E27FC236}">
              <a16:creationId xmlns:a16="http://schemas.microsoft.com/office/drawing/2014/main" id="{00000000-0008-0000-0800-0000D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6" name="Text Box 244">
          <a:extLst>
            <a:ext uri="{FF2B5EF4-FFF2-40B4-BE49-F238E27FC236}">
              <a16:creationId xmlns:a16="http://schemas.microsoft.com/office/drawing/2014/main" id="{00000000-0008-0000-0800-0000E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7" name="Text Box 245">
          <a:extLst>
            <a:ext uri="{FF2B5EF4-FFF2-40B4-BE49-F238E27FC236}">
              <a16:creationId xmlns:a16="http://schemas.microsoft.com/office/drawing/2014/main" id="{00000000-0008-0000-0800-0000E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8" name="Text Box 246">
          <a:extLst>
            <a:ext uri="{FF2B5EF4-FFF2-40B4-BE49-F238E27FC236}">
              <a16:creationId xmlns:a16="http://schemas.microsoft.com/office/drawing/2014/main" id="{00000000-0008-0000-0800-0000E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9" name="Text Box 247">
          <a:extLst>
            <a:ext uri="{FF2B5EF4-FFF2-40B4-BE49-F238E27FC236}">
              <a16:creationId xmlns:a16="http://schemas.microsoft.com/office/drawing/2014/main" id="{00000000-0008-0000-0800-0000E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0" name="Text Box 248">
          <a:extLst>
            <a:ext uri="{FF2B5EF4-FFF2-40B4-BE49-F238E27FC236}">
              <a16:creationId xmlns:a16="http://schemas.microsoft.com/office/drawing/2014/main" id="{00000000-0008-0000-0800-0000E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1" name="Text Box 249">
          <a:extLst>
            <a:ext uri="{FF2B5EF4-FFF2-40B4-BE49-F238E27FC236}">
              <a16:creationId xmlns:a16="http://schemas.microsoft.com/office/drawing/2014/main" id="{00000000-0008-0000-0800-0000E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2" name="Text Box 250">
          <a:extLst>
            <a:ext uri="{FF2B5EF4-FFF2-40B4-BE49-F238E27FC236}">
              <a16:creationId xmlns:a16="http://schemas.microsoft.com/office/drawing/2014/main" id="{00000000-0008-0000-0800-0000E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3" name="Text Box 251">
          <a:extLst>
            <a:ext uri="{FF2B5EF4-FFF2-40B4-BE49-F238E27FC236}">
              <a16:creationId xmlns:a16="http://schemas.microsoft.com/office/drawing/2014/main" id="{00000000-0008-0000-0800-0000E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4" name="Text Box 252">
          <a:extLst>
            <a:ext uri="{FF2B5EF4-FFF2-40B4-BE49-F238E27FC236}">
              <a16:creationId xmlns:a16="http://schemas.microsoft.com/office/drawing/2014/main" id="{00000000-0008-0000-0800-0000E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5" name="Text Box 253">
          <a:extLst>
            <a:ext uri="{FF2B5EF4-FFF2-40B4-BE49-F238E27FC236}">
              <a16:creationId xmlns:a16="http://schemas.microsoft.com/office/drawing/2014/main" id="{00000000-0008-0000-0800-0000E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6" name="Text Box 254">
          <a:extLst>
            <a:ext uri="{FF2B5EF4-FFF2-40B4-BE49-F238E27FC236}">
              <a16:creationId xmlns:a16="http://schemas.microsoft.com/office/drawing/2014/main" id="{00000000-0008-0000-0800-0000E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7" name="Text Box 255">
          <a:extLst>
            <a:ext uri="{FF2B5EF4-FFF2-40B4-BE49-F238E27FC236}">
              <a16:creationId xmlns:a16="http://schemas.microsoft.com/office/drawing/2014/main" id="{00000000-0008-0000-0800-0000E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8" name="Text Box 256">
          <a:extLst>
            <a:ext uri="{FF2B5EF4-FFF2-40B4-BE49-F238E27FC236}">
              <a16:creationId xmlns:a16="http://schemas.microsoft.com/office/drawing/2014/main" id="{00000000-0008-0000-0800-0000E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9" name="Text Box 257">
          <a:extLst>
            <a:ext uri="{FF2B5EF4-FFF2-40B4-BE49-F238E27FC236}">
              <a16:creationId xmlns:a16="http://schemas.microsoft.com/office/drawing/2014/main" id="{00000000-0008-0000-0800-0000E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0" name="Text Box 258">
          <a:extLst>
            <a:ext uri="{FF2B5EF4-FFF2-40B4-BE49-F238E27FC236}">
              <a16:creationId xmlns:a16="http://schemas.microsoft.com/office/drawing/2014/main" id="{00000000-0008-0000-0800-0000E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1" name="Text Box 259">
          <a:extLst>
            <a:ext uri="{FF2B5EF4-FFF2-40B4-BE49-F238E27FC236}">
              <a16:creationId xmlns:a16="http://schemas.microsoft.com/office/drawing/2014/main" id="{00000000-0008-0000-0800-0000E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2" name="Text Box 260">
          <a:extLst>
            <a:ext uri="{FF2B5EF4-FFF2-40B4-BE49-F238E27FC236}">
              <a16:creationId xmlns:a16="http://schemas.microsoft.com/office/drawing/2014/main" id="{00000000-0008-0000-0800-0000F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3" name="Text Box 261">
          <a:extLst>
            <a:ext uri="{FF2B5EF4-FFF2-40B4-BE49-F238E27FC236}">
              <a16:creationId xmlns:a16="http://schemas.microsoft.com/office/drawing/2014/main" id="{00000000-0008-0000-0800-0000F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4" name="Text Box 262">
          <a:extLst>
            <a:ext uri="{FF2B5EF4-FFF2-40B4-BE49-F238E27FC236}">
              <a16:creationId xmlns:a16="http://schemas.microsoft.com/office/drawing/2014/main" id="{00000000-0008-0000-0800-0000F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5" name="Text Box 263">
          <a:extLst>
            <a:ext uri="{FF2B5EF4-FFF2-40B4-BE49-F238E27FC236}">
              <a16:creationId xmlns:a16="http://schemas.microsoft.com/office/drawing/2014/main" id="{00000000-0008-0000-0800-0000F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6" name="Text Box 264">
          <a:extLst>
            <a:ext uri="{FF2B5EF4-FFF2-40B4-BE49-F238E27FC236}">
              <a16:creationId xmlns:a16="http://schemas.microsoft.com/office/drawing/2014/main" id="{00000000-0008-0000-0800-0000F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7" name="Text Box 265">
          <a:extLst>
            <a:ext uri="{FF2B5EF4-FFF2-40B4-BE49-F238E27FC236}">
              <a16:creationId xmlns:a16="http://schemas.microsoft.com/office/drawing/2014/main" id="{00000000-0008-0000-0800-0000F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8" name="Text Box 266">
          <a:extLst>
            <a:ext uri="{FF2B5EF4-FFF2-40B4-BE49-F238E27FC236}">
              <a16:creationId xmlns:a16="http://schemas.microsoft.com/office/drawing/2014/main" id="{00000000-0008-0000-0800-0000F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9" name="Text Box 267">
          <a:extLst>
            <a:ext uri="{FF2B5EF4-FFF2-40B4-BE49-F238E27FC236}">
              <a16:creationId xmlns:a16="http://schemas.microsoft.com/office/drawing/2014/main" id="{00000000-0008-0000-0800-0000F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0" name="Text Box 268">
          <a:extLst>
            <a:ext uri="{FF2B5EF4-FFF2-40B4-BE49-F238E27FC236}">
              <a16:creationId xmlns:a16="http://schemas.microsoft.com/office/drawing/2014/main" id="{00000000-0008-0000-0800-0000F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1" name="Text Box 269">
          <a:extLst>
            <a:ext uri="{FF2B5EF4-FFF2-40B4-BE49-F238E27FC236}">
              <a16:creationId xmlns:a16="http://schemas.microsoft.com/office/drawing/2014/main" id="{00000000-0008-0000-0800-0000F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2" name="Text Box 270">
          <a:extLst>
            <a:ext uri="{FF2B5EF4-FFF2-40B4-BE49-F238E27FC236}">
              <a16:creationId xmlns:a16="http://schemas.microsoft.com/office/drawing/2014/main" id="{00000000-0008-0000-0800-0000F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3" name="Text Box 271">
          <a:extLst>
            <a:ext uri="{FF2B5EF4-FFF2-40B4-BE49-F238E27FC236}">
              <a16:creationId xmlns:a16="http://schemas.microsoft.com/office/drawing/2014/main" id="{00000000-0008-0000-0800-0000F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4" name="Text Box 272">
          <a:extLst>
            <a:ext uri="{FF2B5EF4-FFF2-40B4-BE49-F238E27FC236}">
              <a16:creationId xmlns:a16="http://schemas.microsoft.com/office/drawing/2014/main" id="{00000000-0008-0000-0800-0000F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5" name="Text Box 273">
          <a:extLst>
            <a:ext uri="{FF2B5EF4-FFF2-40B4-BE49-F238E27FC236}">
              <a16:creationId xmlns:a16="http://schemas.microsoft.com/office/drawing/2014/main" id="{00000000-0008-0000-0800-0000F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6" name="Text Box 274">
          <a:extLst>
            <a:ext uri="{FF2B5EF4-FFF2-40B4-BE49-F238E27FC236}">
              <a16:creationId xmlns:a16="http://schemas.microsoft.com/office/drawing/2014/main" id="{00000000-0008-0000-0800-0000F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7" name="Text Box 275">
          <a:extLst>
            <a:ext uri="{FF2B5EF4-FFF2-40B4-BE49-F238E27FC236}">
              <a16:creationId xmlns:a16="http://schemas.microsoft.com/office/drawing/2014/main" id="{00000000-0008-0000-0800-0000F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8" name="Text Box 276">
          <a:extLst>
            <a:ext uri="{FF2B5EF4-FFF2-40B4-BE49-F238E27FC236}">
              <a16:creationId xmlns:a16="http://schemas.microsoft.com/office/drawing/2014/main" id="{00000000-0008-0000-0800-00000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9" name="Text Box 277">
          <a:extLst>
            <a:ext uri="{FF2B5EF4-FFF2-40B4-BE49-F238E27FC236}">
              <a16:creationId xmlns:a16="http://schemas.microsoft.com/office/drawing/2014/main" id="{00000000-0008-0000-0800-00000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0" name="Text Box 278">
          <a:extLst>
            <a:ext uri="{FF2B5EF4-FFF2-40B4-BE49-F238E27FC236}">
              <a16:creationId xmlns:a16="http://schemas.microsoft.com/office/drawing/2014/main" id="{00000000-0008-0000-0800-00000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1" name="Text Box 279">
          <a:extLst>
            <a:ext uri="{FF2B5EF4-FFF2-40B4-BE49-F238E27FC236}">
              <a16:creationId xmlns:a16="http://schemas.microsoft.com/office/drawing/2014/main" id="{00000000-0008-0000-0800-00000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2" name="Text Box 280">
          <a:extLst>
            <a:ext uri="{FF2B5EF4-FFF2-40B4-BE49-F238E27FC236}">
              <a16:creationId xmlns:a16="http://schemas.microsoft.com/office/drawing/2014/main" id="{00000000-0008-0000-0800-00000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3" name="Text Box 281">
          <a:extLst>
            <a:ext uri="{FF2B5EF4-FFF2-40B4-BE49-F238E27FC236}">
              <a16:creationId xmlns:a16="http://schemas.microsoft.com/office/drawing/2014/main" id="{00000000-0008-0000-0800-00000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4" name="Text Box 282">
          <a:extLst>
            <a:ext uri="{FF2B5EF4-FFF2-40B4-BE49-F238E27FC236}">
              <a16:creationId xmlns:a16="http://schemas.microsoft.com/office/drawing/2014/main" id="{00000000-0008-0000-0800-00000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5" name="Text Box 283">
          <a:extLst>
            <a:ext uri="{FF2B5EF4-FFF2-40B4-BE49-F238E27FC236}">
              <a16:creationId xmlns:a16="http://schemas.microsoft.com/office/drawing/2014/main" id="{00000000-0008-0000-0800-00000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6" name="Text Box 284">
          <a:extLst>
            <a:ext uri="{FF2B5EF4-FFF2-40B4-BE49-F238E27FC236}">
              <a16:creationId xmlns:a16="http://schemas.microsoft.com/office/drawing/2014/main" id="{00000000-0008-0000-0800-00000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7" name="Text Box 285">
          <a:extLst>
            <a:ext uri="{FF2B5EF4-FFF2-40B4-BE49-F238E27FC236}">
              <a16:creationId xmlns:a16="http://schemas.microsoft.com/office/drawing/2014/main" id="{00000000-0008-0000-0800-00000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8" name="Text Box 286">
          <a:extLst>
            <a:ext uri="{FF2B5EF4-FFF2-40B4-BE49-F238E27FC236}">
              <a16:creationId xmlns:a16="http://schemas.microsoft.com/office/drawing/2014/main" id="{00000000-0008-0000-0800-00000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9" name="Text Box 287">
          <a:extLst>
            <a:ext uri="{FF2B5EF4-FFF2-40B4-BE49-F238E27FC236}">
              <a16:creationId xmlns:a16="http://schemas.microsoft.com/office/drawing/2014/main" id="{00000000-0008-0000-0800-00000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0" name="Text Box 288">
          <a:extLst>
            <a:ext uri="{FF2B5EF4-FFF2-40B4-BE49-F238E27FC236}">
              <a16:creationId xmlns:a16="http://schemas.microsoft.com/office/drawing/2014/main" id="{00000000-0008-0000-0800-00000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1" name="Text Box 289">
          <a:extLst>
            <a:ext uri="{FF2B5EF4-FFF2-40B4-BE49-F238E27FC236}">
              <a16:creationId xmlns:a16="http://schemas.microsoft.com/office/drawing/2014/main" id="{00000000-0008-0000-0800-00000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2" name="Text Box 290">
          <a:extLst>
            <a:ext uri="{FF2B5EF4-FFF2-40B4-BE49-F238E27FC236}">
              <a16:creationId xmlns:a16="http://schemas.microsoft.com/office/drawing/2014/main" id="{00000000-0008-0000-0800-00000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3" name="Text Box 291">
          <a:extLst>
            <a:ext uri="{FF2B5EF4-FFF2-40B4-BE49-F238E27FC236}">
              <a16:creationId xmlns:a16="http://schemas.microsoft.com/office/drawing/2014/main" id="{00000000-0008-0000-0800-00000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4" name="Text Box 292">
          <a:extLst>
            <a:ext uri="{FF2B5EF4-FFF2-40B4-BE49-F238E27FC236}">
              <a16:creationId xmlns:a16="http://schemas.microsoft.com/office/drawing/2014/main" id="{00000000-0008-0000-0800-00001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5" name="Text Box 293">
          <a:extLst>
            <a:ext uri="{FF2B5EF4-FFF2-40B4-BE49-F238E27FC236}">
              <a16:creationId xmlns:a16="http://schemas.microsoft.com/office/drawing/2014/main" id="{00000000-0008-0000-0800-00001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6" name="Text Box 294">
          <a:extLst>
            <a:ext uri="{FF2B5EF4-FFF2-40B4-BE49-F238E27FC236}">
              <a16:creationId xmlns:a16="http://schemas.microsoft.com/office/drawing/2014/main" id="{00000000-0008-0000-0800-00001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7" name="Text Box 295">
          <a:extLst>
            <a:ext uri="{FF2B5EF4-FFF2-40B4-BE49-F238E27FC236}">
              <a16:creationId xmlns:a16="http://schemas.microsoft.com/office/drawing/2014/main" id="{00000000-0008-0000-0800-00001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8" name="Text Box 296">
          <a:extLst>
            <a:ext uri="{FF2B5EF4-FFF2-40B4-BE49-F238E27FC236}">
              <a16:creationId xmlns:a16="http://schemas.microsoft.com/office/drawing/2014/main" id="{00000000-0008-0000-0800-00001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49" name="Text Box 297">
          <a:extLst>
            <a:ext uri="{FF2B5EF4-FFF2-40B4-BE49-F238E27FC236}">
              <a16:creationId xmlns:a16="http://schemas.microsoft.com/office/drawing/2014/main" id="{00000000-0008-0000-0800-00001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0" name="Text Box 298">
          <a:extLst>
            <a:ext uri="{FF2B5EF4-FFF2-40B4-BE49-F238E27FC236}">
              <a16:creationId xmlns:a16="http://schemas.microsoft.com/office/drawing/2014/main" id="{00000000-0008-0000-0800-00001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1" name="Text Box 299">
          <a:extLst>
            <a:ext uri="{FF2B5EF4-FFF2-40B4-BE49-F238E27FC236}">
              <a16:creationId xmlns:a16="http://schemas.microsoft.com/office/drawing/2014/main" id="{00000000-0008-0000-0800-00001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2" name="Text Box 300">
          <a:extLst>
            <a:ext uri="{FF2B5EF4-FFF2-40B4-BE49-F238E27FC236}">
              <a16:creationId xmlns:a16="http://schemas.microsoft.com/office/drawing/2014/main" id="{00000000-0008-0000-0800-00001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3" name="Text Box 301">
          <a:extLst>
            <a:ext uri="{FF2B5EF4-FFF2-40B4-BE49-F238E27FC236}">
              <a16:creationId xmlns:a16="http://schemas.microsoft.com/office/drawing/2014/main" id="{00000000-0008-0000-0800-00001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4" name="Text Box 302">
          <a:extLst>
            <a:ext uri="{FF2B5EF4-FFF2-40B4-BE49-F238E27FC236}">
              <a16:creationId xmlns:a16="http://schemas.microsoft.com/office/drawing/2014/main" id="{00000000-0008-0000-0800-00001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5" name="Text Box 303">
          <a:extLst>
            <a:ext uri="{FF2B5EF4-FFF2-40B4-BE49-F238E27FC236}">
              <a16:creationId xmlns:a16="http://schemas.microsoft.com/office/drawing/2014/main" id="{00000000-0008-0000-0800-00001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6" name="Text Box 304">
          <a:extLst>
            <a:ext uri="{FF2B5EF4-FFF2-40B4-BE49-F238E27FC236}">
              <a16:creationId xmlns:a16="http://schemas.microsoft.com/office/drawing/2014/main" id="{00000000-0008-0000-0800-00001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7" name="Text Box 305">
          <a:extLst>
            <a:ext uri="{FF2B5EF4-FFF2-40B4-BE49-F238E27FC236}">
              <a16:creationId xmlns:a16="http://schemas.microsoft.com/office/drawing/2014/main" id="{00000000-0008-0000-0800-00001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8" name="Text Box 306">
          <a:extLst>
            <a:ext uri="{FF2B5EF4-FFF2-40B4-BE49-F238E27FC236}">
              <a16:creationId xmlns:a16="http://schemas.microsoft.com/office/drawing/2014/main" id="{00000000-0008-0000-0800-00001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9" name="Text Box 307">
          <a:extLst>
            <a:ext uri="{FF2B5EF4-FFF2-40B4-BE49-F238E27FC236}">
              <a16:creationId xmlns:a16="http://schemas.microsoft.com/office/drawing/2014/main" id="{00000000-0008-0000-0800-00001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0" name="Text Box 308">
          <a:extLst>
            <a:ext uri="{FF2B5EF4-FFF2-40B4-BE49-F238E27FC236}">
              <a16:creationId xmlns:a16="http://schemas.microsoft.com/office/drawing/2014/main" id="{00000000-0008-0000-0800-00002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1" name="Text Box 309">
          <a:extLst>
            <a:ext uri="{FF2B5EF4-FFF2-40B4-BE49-F238E27FC236}">
              <a16:creationId xmlns:a16="http://schemas.microsoft.com/office/drawing/2014/main" id="{00000000-0008-0000-0800-00002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2" name="Text Box 310">
          <a:extLst>
            <a:ext uri="{FF2B5EF4-FFF2-40B4-BE49-F238E27FC236}">
              <a16:creationId xmlns:a16="http://schemas.microsoft.com/office/drawing/2014/main" id="{00000000-0008-0000-0800-00002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3" name="Text Box 311">
          <a:extLst>
            <a:ext uri="{FF2B5EF4-FFF2-40B4-BE49-F238E27FC236}">
              <a16:creationId xmlns:a16="http://schemas.microsoft.com/office/drawing/2014/main" id="{00000000-0008-0000-0800-00002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4" name="Text Box 312">
          <a:extLst>
            <a:ext uri="{FF2B5EF4-FFF2-40B4-BE49-F238E27FC236}">
              <a16:creationId xmlns:a16="http://schemas.microsoft.com/office/drawing/2014/main" id="{00000000-0008-0000-0800-00002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5" name="Text Box 313">
          <a:extLst>
            <a:ext uri="{FF2B5EF4-FFF2-40B4-BE49-F238E27FC236}">
              <a16:creationId xmlns:a16="http://schemas.microsoft.com/office/drawing/2014/main" id="{00000000-0008-0000-0800-00002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6" name="Text Box 314">
          <a:extLst>
            <a:ext uri="{FF2B5EF4-FFF2-40B4-BE49-F238E27FC236}">
              <a16:creationId xmlns:a16="http://schemas.microsoft.com/office/drawing/2014/main" id="{00000000-0008-0000-0800-00002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7" name="Text Box 315">
          <a:extLst>
            <a:ext uri="{FF2B5EF4-FFF2-40B4-BE49-F238E27FC236}">
              <a16:creationId xmlns:a16="http://schemas.microsoft.com/office/drawing/2014/main" id="{00000000-0008-0000-0800-00002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8" name="Text Box 316">
          <a:extLst>
            <a:ext uri="{FF2B5EF4-FFF2-40B4-BE49-F238E27FC236}">
              <a16:creationId xmlns:a16="http://schemas.microsoft.com/office/drawing/2014/main" id="{00000000-0008-0000-0800-00002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9" name="Text Box 317">
          <a:extLst>
            <a:ext uri="{FF2B5EF4-FFF2-40B4-BE49-F238E27FC236}">
              <a16:creationId xmlns:a16="http://schemas.microsoft.com/office/drawing/2014/main" id="{00000000-0008-0000-0800-00002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0" name="Text Box 318">
          <a:extLst>
            <a:ext uri="{FF2B5EF4-FFF2-40B4-BE49-F238E27FC236}">
              <a16:creationId xmlns:a16="http://schemas.microsoft.com/office/drawing/2014/main" id="{00000000-0008-0000-0800-00002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1" name="Text Box 319">
          <a:extLst>
            <a:ext uri="{FF2B5EF4-FFF2-40B4-BE49-F238E27FC236}">
              <a16:creationId xmlns:a16="http://schemas.microsoft.com/office/drawing/2014/main" id="{00000000-0008-0000-0800-00002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2" name="Text Box 320">
          <a:extLst>
            <a:ext uri="{FF2B5EF4-FFF2-40B4-BE49-F238E27FC236}">
              <a16:creationId xmlns:a16="http://schemas.microsoft.com/office/drawing/2014/main" id="{00000000-0008-0000-0800-00002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3" name="Text Box 28">
          <a:extLst>
            <a:ext uri="{FF2B5EF4-FFF2-40B4-BE49-F238E27FC236}">
              <a16:creationId xmlns:a16="http://schemas.microsoft.com/office/drawing/2014/main" id="{00000000-0008-0000-0800-00002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4" name="Text Box 29">
          <a:extLst>
            <a:ext uri="{FF2B5EF4-FFF2-40B4-BE49-F238E27FC236}">
              <a16:creationId xmlns:a16="http://schemas.microsoft.com/office/drawing/2014/main" id="{00000000-0008-0000-0800-00002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5" name="Text Box 30">
          <a:extLst>
            <a:ext uri="{FF2B5EF4-FFF2-40B4-BE49-F238E27FC236}">
              <a16:creationId xmlns:a16="http://schemas.microsoft.com/office/drawing/2014/main" id="{00000000-0008-0000-0800-00002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6" name="Text Box 31">
          <a:extLst>
            <a:ext uri="{FF2B5EF4-FFF2-40B4-BE49-F238E27FC236}">
              <a16:creationId xmlns:a16="http://schemas.microsoft.com/office/drawing/2014/main" id="{00000000-0008-0000-0800-00003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7" name="Text Box 32">
          <a:extLst>
            <a:ext uri="{FF2B5EF4-FFF2-40B4-BE49-F238E27FC236}">
              <a16:creationId xmlns:a16="http://schemas.microsoft.com/office/drawing/2014/main" id="{00000000-0008-0000-0800-00003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8" name="Text Box 33">
          <a:extLst>
            <a:ext uri="{FF2B5EF4-FFF2-40B4-BE49-F238E27FC236}">
              <a16:creationId xmlns:a16="http://schemas.microsoft.com/office/drawing/2014/main" id="{00000000-0008-0000-0800-00003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9" name="Text Box 34">
          <a:extLst>
            <a:ext uri="{FF2B5EF4-FFF2-40B4-BE49-F238E27FC236}">
              <a16:creationId xmlns:a16="http://schemas.microsoft.com/office/drawing/2014/main" id="{00000000-0008-0000-0800-00003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0" name="Text Box 35">
          <a:extLst>
            <a:ext uri="{FF2B5EF4-FFF2-40B4-BE49-F238E27FC236}">
              <a16:creationId xmlns:a16="http://schemas.microsoft.com/office/drawing/2014/main" id="{00000000-0008-0000-0800-00003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1" name="Text Box 36">
          <a:extLst>
            <a:ext uri="{FF2B5EF4-FFF2-40B4-BE49-F238E27FC236}">
              <a16:creationId xmlns:a16="http://schemas.microsoft.com/office/drawing/2014/main" id="{00000000-0008-0000-0800-00003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2" name="Text Box 37">
          <a:extLst>
            <a:ext uri="{FF2B5EF4-FFF2-40B4-BE49-F238E27FC236}">
              <a16:creationId xmlns:a16="http://schemas.microsoft.com/office/drawing/2014/main" id="{00000000-0008-0000-0800-00003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3" name="Text Box 38">
          <a:extLst>
            <a:ext uri="{FF2B5EF4-FFF2-40B4-BE49-F238E27FC236}">
              <a16:creationId xmlns:a16="http://schemas.microsoft.com/office/drawing/2014/main" id="{00000000-0008-0000-0800-00003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4" name="Text Box 39">
          <a:extLst>
            <a:ext uri="{FF2B5EF4-FFF2-40B4-BE49-F238E27FC236}">
              <a16:creationId xmlns:a16="http://schemas.microsoft.com/office/drawing/2014/main" id="{00000000-0008-0000-0800-00003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5" name="Text Box 40">
          <a:extLst>
            <a:ext uri="{FF2B5EF4-FFF2-40B4-BE49-F238E27FC236}">
              <a16:creationId xmlns:a16="http://schemas.microsoft.com/office/drawing/2014/main" id="{00000000-0008-0000-0800-00003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6" name="Text Box 41">
          <a:extLst>
            <a:ext uri="{FF2B5EF4-FFF2-40B4-BE49-F238E27FC236}">
              <a16:creationId xmlns:a16="http://schemas.microsoft.com/office/drawing/2014/main" id="{00000000-0008-0000-0800-00003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7" name="Text Box 42">
          <a:extLst>
            <a:ext uri="{FF2B5EF4-FFF2-40B4-BE49-F238E27FC236}">
              <a16:creationId xmlns:a16="http://schemas.microsoft.com/office/drawing/2014/main" id="{00000000-0008-0000-0800-00003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8" name="Text Box 43">
          <a:extLst>
            <a:ext uri="{FF2B5EF4-FFF2-40B4-BE49-F238E27FC236}">
              <a16:creationId xmlns:a16="http://schemas.microsoft.com/office/drawing/2014/main" id="{00000000-0008-0000-0800-00003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9" name="Text Box 44">
          <a:extLst>
            <a:ext uri="{FF2B5EF4-FFF2-40B4-BE49-F238E27FC236}">
              <a16:creationId xmlns:a16="http://schemas.microsoft.com/office/drawing/2014/main" id="{00000000-0008-0000-0800-00003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0" name="Text Box 45">
          <a:extLst>
            <a:ext uri="{FF2B5EF4-FFF2-40B4-BE49-F238E27FC236}">
              <a16:creationId xmlns:a16="http://schemas.microsoft.com/office/drawing/2014/main" id="{00000000-0008-0000-0800-00003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1" name="Text Box 46">
          <a:extLst>
            <a:ext uri="{FF2B5EF4-FFF2-40B4-BE49-F238E27FC236}">
              <a16:creationId xmlns:a16="http://schemas.microsoft.com/office/drawing/2014/main" id="{00000000-0008-0000-0800-00003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2" name="Text Box 47">
          <a:extLst>
            <a:ext uri="{FF2B5EF4-FFF2-40B4-BE49-F238E27FC236}">
              <a16:creationId xmlns:a16="http://schemas.microsoft.com/office/drawing/2014/main" id="{00000000-0008-0000-0800-00004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3" name="Text Box 48">
          <a:extLst>
            <a:ext uri="{FF2B5EF4-FFF2-40B4-BE49-F238E27FC236}">
              <a16:creationId xmlns:a16="http://schemas.microsoft.com/office/drawing/2014/main" id="{00000000-0008-0000-0800-00004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4" name="Text Box 49">
          <a:extLst>
            <a:ext uri="{FF2B5EF4-FFF2-40B4-BE49-F238E27FC236}">
              <a16:creationId xmlns:a16="http://schemas.microsoft.com/office/drawing/2014/main" id="{00000000-0008-0000-0800-00004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5" name="Text Box 50">
          <a:extLst>
            <a:ext uri="{FF2B5EF4-FFF2-40B4-BE49-F238E27FC236}">
              <a16:creationId xmlns:a16="http://schemas.microsoft.com/office/drawing/2014/main" id="{00000000-0008-0000-0800-00004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6" name="Text Box 51">
          <a:extLst>
            <a:ext uri="{FF2B5EF4-FFF2-40B4-BE49-F238E27FC236}">
              <a16:creationId xmlns:a16="http://schemas.microsoft.com/office/drawing/2014/main" id="{00000000-0008-0000-0800-00004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7" name="Text Box 52">
          <a:extLst>
            <a:ext uri="{FF2B5EF4-FFF2-40B4-BE49-F238E27FC236}">
              <a16:creationId xmlns:a16="http://schemas.microsoft.com/office/drawing/2014/main" id="{00000000-0008-0000-0800-00004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8" name="Text Box 53">
          <a:extLst>
            <a:ext uri="{FF2B5EF4-FFF2-40B4-BE49-F238E27FC236}">
              <a16:creationId xmlns:a16="http://schemas.microsoft.com/office/drawing/2014/main" id="{00000000-0008-0000-0800-00004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9" name="Text Box 54">
          <a:extLst>
            <a:ext uri="{FF2B5EF4-FFF2-40B4-BE49-F238E27FC236}">
              <a16:creationId xmlns:a16="http://schemas.microsoft.com/office/drawing/2014/main" id="{00000000-0008-0000-0800-00004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0" name="Text Box 55">
          <a:extLst>
            <a:ext uri="{FF2B5EF4-FFF2-40B4-BE49-F238E27FC236}">
              <a16:creationId xmlns:a16="http://schemas.microsoft.com/office/drawing/2014/main" id="{00000000-0008-0000-0800-00004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1" name="Text Box 56">
          <a:extLst>
            <a:ext uri="{FF2B5EF4-FFF2-40B4-BE49-F238E27FC236}">
              <a16:creationId xmlns:a16="http://schemas.microsoft.com/office/drawing/2014/main" id="{00000000-0008-0000-0800-00004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2" name="Text Box 57">
          <a:extLst>
            <a:ext uri="{FF2B5EF4-FFF2-40B4-BE49-F238E27FC236}">
              <a16:creationId xmlns:a16="http://schemas.microsoft.com/office/drawing/2014/main" id="{00000000-0008-0000-0800-00004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3" name="Text Box 58">
          <a:extLst>
            <a:ext uri="{FF2B5EF4-FFF2-40B4-BE49-F238E27FC236}">
              <a16:creationId xmlns:a16="http://schemas.microsoft.com/office/drawing/2014/main" id="{00000000-0008-0000-0800-00004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4" name="Text Box 59">
          <a:extLst>
            <a:ext uri="{FF2B5EF4-FFF2-40B4-BE49-F238E27FC236}">
              <a16:creationId xmlns:a16="http://schemas.microsoft.com/office/drawing/2014/main" id="{00000000-0008-0000-0800-00004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5" name="Text Box 60">
          <a:extLst>
            <a:ext uri="{FF2B5EF4-FFF2-40B4-BE49-F238E27FC236}">
              <a16:creationId xmlns:a16="http://schemas.microsoft.com/office/drawing/2014/main" id="{00000000-0008-0000-0800-00004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6" name="Text Box 61">
          <a:extLst>
            <a:ext uri="{FF2B5EF4-FFF2-40B4-BE49-F238E27FC236}">
              <a16:creationId xmlns:a16="http://schemas.microsoft.com/office/drawing/2014/main" id="{00000000-0008-0000-0800-00004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7" name="Text Box 62">
          <a:extLst>
            <a:ext uri="{FF2B5EF4-FFF2-40B4-BE49-F238E27FC236}">
              <a16:creationId xmlns:a16="http://schemas.microsoft.com/office/drawing/2014/main" id="{00000000-0008-0000-0800-00004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8" name="Text Box 63">
          <a:extLst>
            <a:ext uri="{FF2B5EF4-FFF2-40B4-BE49-F238E27FC236}">
              <a16:creationId xmlns:a16="http://schemas.microsoft.com/office/drawing/2014/main" id="{00000000-0008-0000-0800-00005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9" name="Text Box 64">
          <a:extLst>
            <a:ext uri="{FF2B5EF4-FFF2-40B4-BE49-F238E27FC236}">
              <a16:creationId xmlns:a16="http://schemas.microsoft.com/office/drawing/2014/main" id="{00000000-0008-0000-0800-00005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0" name="Text Box 65">
          <a:extLst>
            <a:ext uri="{FF2B5EF4-FFF2-40B4-BE49-F238E27FC236}">
              <a16:creationId xmlns:a16="http://schemas.microsoft.com/office/drawing/2014/main" id="{00000000-0008-0000-0800-00005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1" name="Text Box 66">
          <a:extLst>
            <a:ext uri="{FF2B5EF4-FFF2-40B4-BE49-F238E27FC236}">
              <a16:creationId xmlns:a16="http://schemas.microsoft.com/office/drawing/2014/main" id="{00000000-0008-0000-0800-00005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2" name="Text Box 67">
          <a:extLst>
            <a:ext uri="{FF2B5EF4-FFF2-40B4-BE49-F238E27FC236}">
              <a16:creationId xmlns:a16="http://schemas.microsoft.com/office/drawing/2014/main" id="{00000000-0008-0000-0800-00005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3" name="Text Box 68">
          <a:extLst>
            <a:ext uri="{FF2B5EF4-FFF2-40B4-BE49-F238E27FC236}">
              <a16:creationId xmlns:a16="http://schemas.microsoft.com/office/drawing/2014/main" id="{00000000-0008-0000-0800-00005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4" name="Text Box 69">
          <a:extLst>
            <a:ext uri="{FF2B5EF4-FFF2-40B4-BE49-F238E27FC236}">
              <a16:creationId xmlns:a16="http://schemas.microsoft.com/office/drawing/2014/main" id="{00000000-0008-0000-0800-00005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5" name="Text Box 70">
          <a:extLst>
            <a:ext uri="{FF2B5EF4-FFF2-40B4-BE49-F238E27FC236}">
              <a16:creationId xmlns:a16="http://schemas.microsoft.com/office/drawing/2014/main" id="{00000000-0008-0000-0800-00005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6" name="Text Box 71">
          <a:extLst>
            <a:ext uri="{FF2B5EF4-FFF2-40B4-BE49-F238E27FC236}">
              <a16:creationId xmlns:a16="http://schemas.microsoft.com/office/drawing/2014/main" id="{00000000-0008-0000-0800-00005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7" name="Text Box 72">
          <a:extLst>
            <a:ext uri="{FF2B5EF4-FFF2-40B4-BE49-F238E27FC236}">
              <a16:creationId xmlns:a16="http://schemas.microsoft.com/office/drawing/2014/main" id="{00000000-0008-0000-0800-00005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8" name="Text Box 73">
          <a:extLst>
            <a:ext uri="{FF2B5EF4-FFF2-40B4-BE49-F238E27FC236}">
              <a16:creationId xmlns:a16="http://schemas.microsoft.com/office/drawing/2014/main" id="{00000000-0008-0000-0800-00005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9" name="Text Box 74">
          <a:extLst>
            <a:ext uri="{FF2B5EF4-FFF2-40B4-BE49-F238E27FC236}">
              <a16:creationId xmlns:a16="http://schemas.microsoft.com/office/drawing/2014/main" id="{00000000-0008-0000-0800-00005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0" name="Text Box 75">
          <a:extLst>
            <a:ext uri="{FF2B5EF4-FFF2-40B4-BE49-F238E27FC236}">
              <a16:creationId xmlns:a16="http://schemas.microsoft.com/office/drawing/2014/main" id="{00000000-0008-0000-0800-00005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1" name="Text Box 76">
          <a:extLst>
            <a:ext uri="{FF2B5EF4-FFF2-40B4-BE49-F238E27FC236}">
              <a16:creationId xmlns:a16="http://schemas.microsoft.com/office/drawing/2014/main" id="{00000000-0008-0000-0800-00005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2" name="Text Box 77">
          <a:extLst>
            <a:ext uri="{FF2B5EF4-FFF2-40B4-BE49-F238E27FC236}">
              <a16:creationId xmlns:a16="http://schemas.microsoft.com/office/drawing/2014/main" id="{00000000-0008-0000-0800-00005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3" name="Text Box 78">
          <a:extLst>
            <a:ext uri="{FF2B5EF4-FFF2-40B4-BE49-F238E27FC236}">
              <a16:creationId xmlns:a16="http://schemas.microsoft.com/office/drawing/2014/main" id="{00000000-0008-0000-0800-00005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4" name="Text Box 79">
          <a:extLst>
            <a:ext uri="{FF2B5EF4-FFF2-40B4-BE49-F238E27FC236}">
              <a16:creationId xmlns:a16="http://schemas.microsoft.com/office/drawing/2014/main" id="{00000000-0008-0000-0800-00006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5" name="Text Box 80">
          <a:extLst>
            <a:ext uri="{FF2B5EF4-FFF2-40B4-BE49-F238E27FC236}">
              <a16:creationId xmlns:a16="http://schemas.microsoft.com/office/drawing/2014/main" id="{00000000-0008-0000-0800-00006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6" name="Text Box 81">
          <a:extLst>
            <a:ext uri="{FF2B5EF4-FFF2-40B4-BE49-F238E27FC236}">
              <a16:creationId xmlns:a16="http://schemas.microsoft.com/office/drawing/2014/main" id="{00000000-0008-0000-0800-00006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7" name="Text Box 82">
          <a:extLst>
            <a:ext uri="{FF2B5EF4-FFF2-40B4-BE49-F238E27FC236}">
              <a16:creationId xmlns:a16="http://schemas.microsoft.com/office/drawing/2014/main" id="{00000000-0008-0000-0800-00006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8" name="Text Box 83">
          <a:extLst>
            <a:ext uri="{FF2B5EF4-FFF2-40B4-BE49-F238E27FC236}">
              <a16:creationId xmlns:a16="http://schemas.microsoft.com/office/drawing/2014/main" id="{00000000-0008-0000-0800-00006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9" name="Text Box 84">
          <a:extLst>
            <a:ext uri="{FF2B5EF4-FFF2-40B4-BE49-F238E27FC236}">
              <a16:creationId xmlns:a16="http://schemas.microsoft.com/office/drawing/2014/main" id="{00000000-0008-0000-0800-00006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0" name="Text Box 85">
          <a:extLst>
            <a:ext uri="{FF2B5EF4-FFF2-40B4-BE49-F238E27FC236}">
              <a16:creationId xmlns:a16="http://schemas.microsoft.com/office/drawing/2014/main" id="{00000000-0008-0000-0800-00006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1" name="Text Box 86">
          <a:extLst>
            <a:ext uri="{FF2B5EF4-FFF2-40B4-BE49-F238E27FC236}">
              <a16:creationId xmlns:a16="http://schemas.microsoft.com/office/drawing/2014/main" id="{00000000-0008-0000-0800-00006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2" name="Text Box 87">
          <a:extLst>
            <a:ext uri="{FF2B5EF4-FFF2-40B4-BE49-F238E27FC236}">
              <a16:creationId xmlns:a16="http://schemas.microsoft.com/office/drawing/2014/main" id="{00000000-0008-0000-0800-00006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3" name="Text Box 88">
          <a:extLst>
            <a:ext uri="{FF2B5EF4-FFF2-40B4-BE49-F238E27FC236}">
              <a16:creationId xmlns:a16="http://schemas.microsoft.com/office/drawing/2014/main" id="{00000000-0008-0000-0800-00006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4" name="Text Box 89">
          <a:extLst>
            <a:ext uri="{FF2B5EF4-FFF2-40B4-BE49-F238E27FC236}">
              <a16:creationId xmlns:a16="http://schemas.microsoft.com/office/drawing/2014/main" id="{00000000-0008-0000-0800-00006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5" name="Text Box 90">
          <a:extLst>
            <a:ext uri="{FF2B5EF4-FFF2-40B4-BE49-F238E27FC236}">
              <a16:creationId xmlns:a16="http://schemas.microsoft.com/office/drawing/2014/main" id="{00000000-0008-0000-0800-00006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6" name="Text Box 91">
          <a:extLst>
            <a:ext uri="{FF2B5EF4-FFF2-40B4-BE49-F238E27FC236}">
              <a16:creationId xmlns:a16="http://schemas.microsoft.com/office/drawing/2014/main" id="{00000000-0008-0000-0800-00006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7" name="Text Box 92">
          <a:extLst>
            <a:ext uri="{FF2B5EF4-FFF2-40B4-BE49-F238E27FC236}">
              <a16:creationId xmlns:a16="http://schemas.microsoft.com/office/drawing/2014/main" id="{00000000-0008-0000-0800-00006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8" name="Text Box 93">
          <a:extLst>
            <a:ext uri="{FF2B5EF4-FFF2-40B4-BE49-F238E27FC236}">
              <a16:creationId xmlns:a16="http://schemas.microsoft.com/office/drawing/2014/main" id="{00000000-0008-0000-0800-00006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9" name="Text Box 94">
          <a:extLst>
            <a:ext uri="{FF2B5EF4-FFF2-40B4-BE49-F238E27FC236}">
              <a16:creationId xmlns:a16="http://schemas.microsoft.com/office/drawing/2014/main" id="{00000000-0008-0000-0800-00006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0" name="Text Box 95">
          <a:extLst>
            <a:ext uri="{FF2B5EF4-FFF2-40B4-BE49-F238E27FC236}">
              <a16:creationId xmlns:a16="http://schemas.microsoft.com/office/drawing/2014/main" id="{00000000-0008-0000-0800-00007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1" name="Text Box 96">
          <a:extLst>
            <a:ext uri="{FF2B5EF4-FFF2-40B4-BE49-F238E27FC236}">
              <a16:creationId xmlns:a16="http://schemas.microsoft.com/office/drawing/2014/main" id="{00000000-0008-0000-0800-00007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2" name="Text Box 97">
          <a:extLst>
            <a:ext uri="{FF2B5EF4-FFF2-40B4-BE49-F238E27FC236}">
              <a16:creationId xmlns:a16="http://schemas.microsoft.com/office/drawing/2014/main" id="{00000000-0008-0000-0800-00007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3" name="Text Box 100">
          <a:extLst>
            <a:ext uri="{FF2B5EF4-FFF2-40B4-BE49-F238E27FC236}">
              <a16:creationId xmlns:a16="http://schemas.microsoft.com/office/drawing/2014/main" id="{00000000-0008-0000-0800-00007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4" name="Text Box 101">
          <a:extLst>
            <a:ext uri="{FF2B5EF4-FFF2-40B4-BE49-F238E27FC236}">
              <a16:creationId xmlns:a16="http://schemas.microsoft.com/office/drawing/2014/main" id="{00000000-0008-0000-0800-00007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5" name="Text Box 102">
          <a:extLst>
            <a:ext uri="{FF2B5EF4-FFF2-40B4-BE49-F238E27FC236}">
              <a16:creationId xmlns:a16="http://schemas.microsoft.com/office/drawing/2014/main" id="{00000000-0008-0000-0800-00007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6" name="Text Box 103">
          <a:extLst>
            <a:ext uri="{FF2B5EF4-FFF2-40B4-BE49-F238E27FC236}">
              <a16:creationId xmlns:a16="http://schemas.microsoft.com/office/drawing/2014/main" id="{00000000-0008-0000-0800-00007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7" name="Text Box 104">
          <a:extLst>
            <a:ext uri="{FF2B5EF4-FFF2-40B4-BE49-F238E27FC236}">
              <a16:creationId xmlns:a16="http://schemas.microsoft.com/office/drawing/2014/main" id="{00000000-0008-0000-0800-00007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8" name="Text Box 105">
          <a:extLst>
            <a:ext uri="{FF2B5EF4-FFF2-40B4-BE49-F238E27FC236}">
              <a16:creationId xmlns:a16="http://schemas.microsoft.com/office/drawing/2014/main" id="{00000000-0008-0000-0800-00007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9" name="Text Box 106">
          <a:extLst>
            <a:ext uri="{FF2B5EF4-FFF2-40B4-BE49-F238E27FC236}">
              <a16:creationId xmlns:a16="http://schemas.microsoft.com/office/drawing/2014/main" id="{00000000-0008-0000-0800-00007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0" name="Text Box 107">
          <a:extLst>
            <a:ext uri="{FF2B5EF4-FFF2-40B4-BE49-F238E27FC236}">
              <a16:creationId xmlns:a16="http://schemas.microsoft.com/office/drawing/2014/main" id="{00000000-0008-0000-0800-00007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1" name="Text Box 108">
          <a:extLst>
            <a:ext uri="{FF2B5EF4-FFF2-40B4-BE49-F238E27FC236}">
              <a16:creationId xmlns:a16="http://schemas.microsoft.com/office/drawing/2014/main" id="{00000000-0008-0000-0800-00007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2" name="Text Box 109">
          <a:extLst>
            <a:ext uri="{FF2B5EF4-FFF2-40B4-BE49-F238E27FC236}">
              <a16:creationId xmlns:a16="http://schemas.microsoft.com/office/drawing/2014/main" id="{00000000-0008-0000-0800-00007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3" name="Text Box 110">
          <a:extLst>
            <a:ext uri="{FF2B5EF4-FFF2-40B4-BE49-F238E27FC236}">
              <a16:creationId xmlns:a16="http://schemas.microsoft.com/office/drawing/2014/main" id="{00000000-0008-0000-0800-00007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4" name="Text Box 111">
          <a:extLst>
            <a:ext uri="{FF2B5EF4-FFF2-40B4-BE49-F238E27FC236}">
              <a16:creationId xmlns:a16="http://schemas.microsoft.com/office/drawing/2014/main" id="{00000000-0008-0000-0800-00007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5" name="Text Box 119">
          <a:extLst>
            <a:ext uri="{FF2B5EF4-FFF2-40B4-BE49-F238E27FC236}">
              <a16:creationId xmlns:a16="http://schemas.microsoft.com/office/drawing/2014/main" id="{00000000-0008-0000-0800-00007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6" name="Text Box 120">
          <a:extLst>
            <a:ext uri="{FF2B5EF4-FFF2-40B4-BE49-F238E27FC236}">
              <a16:creationId xmlns:a16="http://schemas.microsoft.com/office/drawing/2014/main" id="{00000000-0008-0000-0800-00008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7" name="Text Box 121">
          <a:extLst>
            <a:ext uri="{FF2B5EF4-FFF2-40B4-BE49-F238E27FC236}">
              <a16:creationId xmlns:a16="http://schemas.microsoft.com/office/drawing/2014/main" id="{00000000-0008-0000-0800-00008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8" name="Text Box 122">
          <a:extLst>
            <a:ext uri="{FF2B5EF4-FFF2-40B4-BE49-F238E27FC236}">
              <a16:creationId xmlns:a16="http://schemas.microsoft.com/office/drawing/2014/main" id="{00000000-0008-0000-0800-00008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9" name="Text Box 123">
          <a:extLst>
            <a:ext uri="{FF2B5EF4-FFF2-40B4-BE49-F238E27FC236}">
              <a16:creationId xmlns:a16="http://schemas.microsoft.com/office/drawing/2014/main" id="{00000000-0008-0000-0800-00008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0" name="Text Box 124">
          <a:extLst>
            <a:ext uri="{FF2B5EF4-FFF2-40B4-BE49-F238E27FC236}">
              <a16:creationId xmlns:a16="http://schemas.microsoft.com/office/drawing/2014/main" id="{00000000-0008-0000-0800-00008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1" name="Text Box 125">
          <a:extLst>
            <a:ext uri="{FF2B5EF4-FFF2-40B4-BE49-F238E27FC236}">
              <a16:creationId xmlns:a16="http://schemas.microsoft.com/office/drawing/2014/main" id="{00000000-0008-0000-0800-00008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2" name="Text Box 126">
          <a:extLst>
            <a:ext uri="{FF2B5EF4-FFF2-40B4-BE49-F238E27FC236}">
              <a16:creationId xmlns:a16="http://schemas.microsoft.com/office/drawing/2014/main" id="{00000000-0008-0000-0800-00008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3" name="Text Box 127">
          <a:extLst>
            <a:ext uri="{FF2B5EF4-FFF2-40B4-BE49-F238E27FC236}">
              <a16:creationId xmlns:a16="http://schemas.microsoft.com/office/drawing/2014/main" id="{00000000-0008-0000-0800-00008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4" name="Text Box 128">
          <a:extLst>
            <a:ext uri="{FF2B5EF4-FFF2-40B4-BE49-F238E27FC236}">
              <a16:creationId xmlns:a16="http://schemas.microsoft.com/office/drawing/2014/main" id="{00000000-0008-0000-0800-00008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5" name="Text Box 129">
          <a:extLst>
            <a:ext uri="{FF2B5EF4-FFF2-40B4-BE49-F238E27FC236}">
              <a16:creationId xmlns:a16="http://schemas.microsoft.com/office/drawing/2014/main" id="{00000000-0008-0000-0800-00008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6" name="Text Box 130">
          <a:extLst>
            <a:ext uri="{FF2B5EF4-FFF2-40B4-BE49-F238E27FC236}">
              <a16:creationId xmlns:a16="http://schemas.microsoft.com/office/drawing/2014/main" id="{00000000-0008-0000-0800-00008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7" name="Text Box 133">
          <a:extLst>
            <a:ext uri="{FF2B5EF4-FFF2-40B4-BE49-F238E27FC236}">
              <a16:creationId xmlns:a16="http://schemas.microsoft.com/office/drawing/2014/main" id="{00000000-0008-0000-0800-00008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8" name="Text Box 134">
          <a:extLst>
            <a:ext uri="{FF2B5EF4-FFF2-40B4-BE49-F238E27FC236}">
              <a16:creationId xmlns:a16="http://schemas.microsoft.com/office/drawing/2014/main" id="{00000000-0008-0000-0800-00008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9" name="Text Box 135">
          <a:extLst>
            <a:ext uri="{FF2B5EF4-FFF2-40B4-BE49-F238E27FC236}">
              <a16:creationId xmlns:a16="http://schemas.microsoft.com/office/drawing/2014/main" id="{00000000-0008-0000-0800-00008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0" name="Text Box 136">
          <a:extLst>
            <a:ext uri="{FF2B5EF4-FFF2-40B4-BE49-F238E27FC236}">
              <a16:creationId xmlns:a16="http://schemas.microsoft.com/office/drawing/2014/main" id="{00000000-0008-0000-0800-00008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1" name="Text Box 137">
          <a:extLst>
            <a:ext uri="{FF2B5EF4-FFF2-40B4-BE49-F238E27FC236}">
              <a16:creationId xmlns:a16="http://schemas.microsoft.com/office/drawing/2014/main" id="{00000000-0008-0000-0800-00008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2" name="Text Box 138">
          <a:extLst>
            <a:ext uri="{FF2B5EF4-FFF2-40B4-BE49-F238E27FC236}">
              <a16:creationId xmlns:a16="http://schemas.microsoft.com/office/drawing/2014/main" id="{00000000-0008-0000-0800-00009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3" name="Text Box 139">
          <a:extLst>
            <a:ext uri="{FF2B5EF4-FFF2-40B4-BE49-F238E27FC236}">
              <a16:creationId xmlns:a16="http://schemas.microsoft.com/office/drawing/2014/main" id="{00000000-0008-0000-0800-00009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4" name="Text Box 140">
          <a:extLst>
            <a:ext uri="{FF2B5EF4-FFF2-40B4-BE49-F238E27FC236}">
              <a16:creationId xmlns:a16="http://schemas.microsoft.com/office/drawing/2014/main" id="{00000000-0008-0000-0800-00009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5" name="Text Box 141">
          <a:extLst>
            <a:ext uri="{FF2B5EF4-FFF2-40B4-BE49-F238E27FC236}">
              <a16:creationId xmlns:a16="http://schemas.microsoft.com/office/drawing/2014/main" id="{00000000-0008-0000-0800-00009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6" name="Text Box 142">
          <a:extLst>
            <a:ext uri="{FF2B5EF4-FFF2-40B4-BE49-F238E27FC236}">
              <a16:creationId xmlns:a16="http://schemas.microsoft.com/office/drawing/2014/main" id="{00000000-0008-0000-0800-00009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7" name="Text Box 143">
          <a:extLst>
            <a:ext uri="{FF2B5EF4-FFF2-40B4-BE49-F238E27FC236}">
              <a16:creationId xmlns:a16="http://schemas.microsoft.com/office/drawing/2014/main" id="{00000000-0008-0000-0800-00009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8" name="Text Box 144">
          <a:extLst>
            <a:ext uri="{FF2B5EF4-FFF2-40B4-BE49-F238E27FC236}">
              <a16:creationId xmlns:a16="http://schemas.microsoft.com/office/drawing/2014/main" id="{00000000-0008-0000-0800-00009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9" name="Text Box 145">
          <a:extLst>
            <a:ext uri="{FF2B5EF4-FFF2-40B4-BE49-F238E27FC236}">
              <a16:creationId xmlns:a16="http://schemas.microsoft.com/office/drawing/2014/main" id="{00000000-0008-0000-0800-00009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0" name="Text Box 146">
          <a:extLst>
            <a:ext uri="{FF2B5EF4-FFF2-40B4-BE49-F238E27FC236}">
              <a16:creationId xmlns:a16="http://schemas.microsoft.com/office/drawing/2014/main" id="{00000000-0008-0000-0800-00009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1" name="Text Box 147">
          <a:extLst>
            <a:ext uri="{FF2B5EF4-FFF2-40B4-BE49-F238E27FC236}">
              <a16:creationId xmlns:a16="http://schemas.microsoft.com/office/drawing/2014/main" id="{00000000-0008-0000-0800-00009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2" name="Text Box 148">
          <a:extLst>
            <a:ext uri="{FF2B5EF4-FFF2-40B4-BE49-F238E27FC236}">
              <a16:creationId xmlns:a16="http://schemas.microsoft.com/office/drawing/2014/main" id="{00000000-0008-0000-0800-00009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3" name="Text Box 149">
          <a:extLst>
            <a:ext uri="{FF2B5EF4-FFF2-40B4-BE49-F238E27FC236}">
              <a16:creationId xmlns:a16="http://schemas.microsoft.com/office/drawing/2014/main" id="{00000000-0008-0000-0800-00009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4" name="Text Box 150">
          <a:extLst>
            <a:ext uri="{FF2B5EF4-FFF2-40B4-BE49-F238E27FC236}">
              <a16:creationId xmlns:a16="http://schemas.microsoft.com/office/drawing/2014/main" id="{00000000-0008-0000-0800-00009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5" name="Text Box 151">
          <a:extLst>
            <a:ext uri="{FF2B5EF4-FFF2-40B4-BE49-F238E27FC236}">
              <a16:creationId xmlns:a16="http://schemas.microsoft.com/office/drawing/2014/main" id="{00000000-0008-0000-0800-00009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6" name="Text Box 152">
          <a:extLst>
            <a:ext uri="{FF2B5EF4-FFF2-40B4-BE49-F238E27FC236}">
              <a16:creationId xmlns:a16="http://schemas.microsoft.com/office/drawing/2014/main" id="{00000000-0008-0000-0800-00009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7" name="Text Box 153">
          <a:extLst>
            <a:ext uri="{FF2B5EF4-FFF2-40B4-BE49-F238E27FC236}">
              <a16:creationId xmlns:a16="http://schemas.microsoft.com/office/drawing/2014/main" id="{00000000-0008-0000-0800-00009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8" name="Text Box 154">
          <a:extLst>
            <a:ext uri="{FF2B5EF4-FFF2-40B4-BE49-F238E27FC236}">
              <a16:creationId xmlns:a16="http://schemas.microsoft.com/office/drawing/2014/main" id="{00000000-0008-0000-0800-0000A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9" name="Text Box 155">
          <a:extLst>
            <a:ext uri="{FF2B5EF4-FFF2-40B4-BE49-F238E27FC236}">
              <a16:creationId xmlns:a16="http://schemas.microsoft.com/office/drawing/2014/main" id="{00000000-0008-0000-0800-0000A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0" name="Text Box 156">
          <a:extLst>
            <a:ext uri="{FF2B5EF4-FFF2-40B4-BE49-F238E27FC236}">
              <a16:creationId xmlns:a16="http://schemas.microsoft.com/office/drawing/2014/main" id="{00000000-0008-0000-0800-0000A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1" name="Text Box 157">
          <a:extLst>
            <a:ext uri="{FF2B5EF4-FFF2-40B4-BE49-F238E27FC236}">
              <a16:creationId xmlns:a16="http://schemas.microsoft.com/office/drawing/2014/main" id="{00000000-0008-0000-0800-0000A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2" name="Text Box 158">
          <a:extLst>
            <a:ext uri="{FF2B5EF4-FFF2-40B4-BE49-F238E27FC236}">
              <a16:creationId xmlns:a16="http://schemas.microsoft.com/office/drawing/2014/main" id="{00000000-0008-0000-0800-0000A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3" name="Text Box 159">
          <a:extLst>
            <a:ext uri="{FF2B5EF4-FFF2-40B4-BE49-F238E27FC236}">
              <a16:creationId xmlns:a16="http://schemas.microsoft.com/office/drawing/2014/main" id="{00000000-0008-0000-0800-0000A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4" name="Text Box 160">
          <a:extLst>
            <a:ext uri="{FF2B5EF4-FFF2-40B4-BE49-F238E27FC236}">
              <a16:creationId xmlns:a16="http://schemas.microsoft.com/office/drawing/2014/main" id="{00000000-0008-0000-0800-0000A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5" name="Text Box 161">
          <a:extLst>
            <a:ext uri="{FF2B5EF4-FFF2-40B4-BE49-F238E27FC236}">
              <a16:creationId xmlns:a16="http://schemas.microsoft.com/office/drawing/2014/main" id="{00000000-0008-0000-0800-0000A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6" name="Text Box 162">
          <a:extLst>
            <a:ext uri="{FF2B5EF4-FFF2-40B4-BE49-F238E27FC236}">
              <a16:creationId xmlns:a16="http://schemas.microsoft.com/office/drawing/2014/main" id="{00000000-0008-0000-0800-0000A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7" name="Text Box 163">
          <a:extLst>
            <a:ext uri="{FF2B5EF4-FFF2-40B4-BE49-F238E27FC236}">
              <a16:creationId xmlns:a16="http://schemas.microsoft.com/office/drawing/2014/main" id="{00000000-0008-0000-0800-0000A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8" name="Text Box 164">
          <a:extLst>
            <a:ext uri="{FF2B5EF4-FFF2-40B4-BE49-F238E27FC236}">
              <a16:creationId xmlns:a16="http://schemas.microsoft.com/office/drawing/2014/main" id="{00000000-0008-0000-0800-0000A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9" name="Text Box 165">
          <a:extLst>
            <a:ext uri="{FF2B5EF4-FFF2-40B4-BE49-F238E27FC236}">
              <a16:creationId xmlns:a16="http://schemas.microsoft.com/office/drawing/2014/main" id="{00000000-0008-0000-0800-0000A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0" name="Text Box 166">
          <a:extLst>
            <a:ext uri="{FF2B5EF4-FFF2-40B4-BE49-F238E27FC236}">
              <a16:creationId xmlns:a16="http://schemas.microsoft.com/office/drawing/2014/main" id="{00000000-0008-0000-0800-0000A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1" name="Text Box 167">
          <a:extLst>
            <a:ext uri="{FF2B5EF4-FFF2-40B4-BE49-F238E27FC236}">
              <a16:creationId xmlns:a16="http://schemas.microsoft.com/office/drawing/2014/main" id="{00000000-0008-0000-0800-0000A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2" name="Text Box 168">
          <a:extLst>
            <a:ext uri="{FF2B5EF4-FFF2-40B4-BE49-F238E27FC236}">
              <a16:creationId xmlns:a16="http://schemas.microsoft.com/office/drawing/2014/main" id="{00000000-0008-0000-0800-0000A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3" name="Text Box 169">
          <a:extLst>
            <a:ext uri="{FF2B5EF4-FFF2-40B4-BE49-F238E27FC236}">
              <a16:creationId xmlns:a16="http://schemas.microsoft.com/office/drawing/2014/main" id="{00000000-0008-0000-0800-0000A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4" name="Text Box 170">
          <a:extLst>
            <a:ext uri="{FF2B5EF4-FFF2-40B4-BE49-F238E27FC236}">
              <a16:creationId xmlns:a16="http://schemas.microsoft.com/office/drawing/2014/main" id="{00000000-0008-0000-0800-0000B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5" name="Text Box 171">
          <a:extLst>
            <a:ext uri="{FF2B5EF4-FFF2-40B4-BE49-F238E27FC236}">
              <a16:creationId xmlns:a16="http://schemas.microsoft.com/office/drawing/2014/main" id="{00000000-0008-0000-0800-0000B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6" name="Text Box 172">
          <a:extLst>
            <a:ext uri="{FF2B5EF4-FFF2-40B4-BE49-F238E27FC236}">
              <a16:creationId xmlns:a16="http://schemas.microsoft.com/office/drawing/2014/main" id="{00000000-0008-0000-0800-0000B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7" name="Text Box 173">
          <a:extLst>
            <a:ext uri="{FF2B5EF4-FFF2-40B4-BE49-F238E27FC236}">
              <a16:creationId xmlns:a16="http://schemas.microsoft.com/office/drawing/2014/main" id="{00000000-0008-0000-0800-0000B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8" name="Text Box 174">
          <a:extLst>
            <a:ext uri="{FF2B5EF4-FFF2-40B4-BE49-F238E27FC236}">
              <a16:creationId xmlns:a16="http://schemas.microsoft.com/office/drawing/2014/main" id="{00000000-0008-0000-0800-0000B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9" name="Text Box 175">
          <a:extLst>
            <a:ext uri="{FF2B5EF4-FFF2-40B4-BE49-F238E27FC236}">
              <a16:creationId xmlns:a16="http://schemas.microsoft.com/office/drawing/2014/main" id="{00000000-0008-0000-0800-0000B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0" name="Text Box 176">
          <a:extLst>
            <a:ext uri="{FF2B5EF4-FFF2-40B4-BE49-F238E27FC236}">
              <a16:creationId xmlns:a16="http://schemas.microsoft.com/office/drawing/2014/main" id="{00000000-0008-0000-0800-0000B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1" name="Text Box 177">
          <a:extLst>
            <a:ext uri="{FF2B5EF4-FFF2-40B4-BE49-F238E27FC236}">
              <a16:creationId xmlns:a16="http://schemas.microsoft.com/office/drawing/2014/main" id="{00000000-0008-0000-0800-0000B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2" name="Text Box 178">
          <a:extLst>
            <a:ext uri="{FF2B5EF4-FFF2-40B4-BE49-F238E27FC236}">
              <a16:creationId xmlns:a16="http://schemas.microsoft.com/office/drawing/2014/main" id="{00000000-0008-0000-0800-0000B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3" name="Text Box 179">
          <a:extLst>
            <a:ext uri="{FF2B5EF4-FFF2-40B4-BE49-F238E27FC236}">
              <a16:creationId xmlns:a16="http://schemas.microsoft.com/office/drawing/2014/main" id="{00000000-0008-0000-0800-0000B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4" name="Text Box 180">
          <a:extLst>
            <a:ext uri="{FF2B5EF4-FFF2-40B4-BE49-F238E27FC236}">
              <a16:creationId xmlns:a16="http://schemas.microsoft.com/office/drawing/2014/main" id="{00000000-0008-0000-0800-0000B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5" name="Text Box 181">
          <a:extLst>
            <a:ext uri="{FF2B5EF4-FFF2-40B4-BE49-F238E27FC236}">
              <a16:creationId xmlns:a16="http://schemas.microsoft.com/office/drawing/2014/main" id="{00000000-0008-0000-0800-0000B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6" name="Text Box 182">
          <a:extLst>
            <a:ext uri="{FF2B5EF4-FFF2-40B4-BE49-F238E27FC236}">
              <a16:creationId xmlns:a16="http://schemas.microsoft.com/office/drawing/2014/main" id="{00000000-0008-0000-0800-0000B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7" name="Text Box 183">
          <a:extLst>
            <a:ext uri="{FF2B5EF4-FFF2-40B4-BE49-F238E27FC236}">
              <a16:creationId xmlns:a16="http://schemas.microsoft.com/office/drawing/2014/main" id="{00000000-0008-0000-0800-0000B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8" name="Text Box 184">
          <a:extLst>
            <a:ext uri="{FF2B5EF4-FFF2-40B4-BE49-F238E27FC236}">
              <a16:creationId xmlns:a16="http://schemas.microsoft.com/office/drawing/2014/main" id="{00000000-0008-0000-0800-0000B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9" name="Text Box 185">
          <a:extLst>
            <a:ext uri="{FF2B5EF4-FFF2-40B4-BE49-F238E27FC236}">
              <a16:creationId xmlns:a16="http://schemas.microsoft.com/office/drawing/2014/main" id="{00000000-0008-0000-0800-0000B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0" name="Text Box 186">
          <a:extLst>
            <a:ext uri="{FF2B5EF4-FFF2-40B4-BE49-F238E27FC236}">
              <a16:creationId xmlns:a16="http://schemas.microsoft.com/office/drawing/2014/main" id="{00000000-0008-0000-0800-0000C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1" name="Text Box 187">
          <a:extLst>
            <a:ext uri="{FF2B5EF4-FFF2-40B4-BE49-F238E27FC236}">
              <a16:creationId xmlns:a16="http://schemas.microsoft.com/office/drawing/2014/main" id="{00000000-0008-0000-0800-0000C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2" name="Text Box 188">
          <a:extLst>
            <a:ext uri="{FF2B5EF4-FFF2-40B4-BE49-F238E27FC236}">
              <a16:creationId xmlns:a16="http://schemas.microsoft.com/office/drawing/2014/main" id="{00000000-0008-0000-0800-0000C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3" name="Text Box 189">
          <a:extLst>
            <a:ext uri="{FF2B5EF4-FFF2-40B4-BE49-F238E27FC236}">
              <a16:creationId xmlns:a16="http://schemas.microsoft.com/office/drawing/2014/main" id="{00000000-0008-0000-0800-0000C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4" name="Text Box 190">
          <a:extLst>
            <a:ext uri="{FF2B5EF4-FFF2-40B4-BE49-F238E27FC236}">
              <a16:creationId xmlns:a16="http://schemas.microsoft.com/office/drawing/2014/main" id="{00000000-0008-0000-0800-0000C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5" name="Text Box 191">
          <a:extLst>
            <a:ext uri="{FF2B5EF4-FFF2-40B4-BE49-F238E27FC236}">
              <a16:creationId xmlns:a16="http://schemas.microsoft.com/office/drawing/2014/main" id="{00000000-0008-0000-0800-0000C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6" name="Text Box 192">
          <a:extLst>
            <a:ext uri="{FF2B5EF4-FFF2-40B4-BE49-F238E27FC236}">
              <a16:creationId xmlns:a16="http://schemas.microsoft.com/office/drawing/2014/main" id="{00000000-0008-0000-0800-0000C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7" name="Text Box 193">
          <a:extLst>
            <a:ext uri="{FF2B5EF4-FFF2-40B4-BE49-F238E27FC236}">
              <a16:creationId xmlns:a16="http://schemas.microsoft.com/office/drawing/2014/main" id="{00000000-0008-0000-0800-0000C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8" name="Text Box 194">
          <a:extLst>
            <a:ext uri="{FF2B5EF4-FFF2-40B4-BE49-F238E27FC236}">
              <a16:creationId xmlns:a16="http://schemas.microsoft.com/office/drawing/2014/main" id="{00000000-0008-0000-0800-0000C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9" name="Text Box 195">
          <a:extLst>
            <a:ext uri="{FF2B5EF4-FFF2-40B4-BE49-F238E27FC236}">
              <a16:creationId xmlns:a16="http://schemas.microsoft.com/office/drawing/2014/main" id="{00000000-0008-0000-0800-0000C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0" name="Text Box 196">
          <a:extLst>
            <a:ext uri="{FF2B5EF4-FFF2-40B4-BE49-F238E27FC236}">
              <a16:creationId xmlns:a16="http://schemas.microsoft.com/office/drawing/2014/main" id="{00000000-0008-0000-0800-0000C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1" name="Text Box 197">
          <a:extLst>
            <a:ext uri="{FF2B5EF4-FFF2-40B4-BE49-F238E27FC236}">
              <a16:creationId xmlns:a16="http://schemas.microsoft.com/office/drawing/2014/main" id="{00000000-0008-0000-0800-0000C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2" name="Text Box 198">
          <a:extLst>
            <a:ext uri="{FF2B5EF4-FFF2-40B4-BE49-F238E27FC236}">
              <a16:creationId xmlns:a16="http://schemas.microsoft.com/office/drawing/2014/main" id="{00000000-0008-0000-0800-0000C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3" name="Text Box 199">
          <a:extLst>
            <a:ext uri="{FF2B5EF4-FFF2-40B4-BE49-F238E27FC236}">
              <a16:creationId xmlns:a16="http://schemas.microsoft.com/office/drawing/2014/main" id="{00000000-0008-0000-0800-0000C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4" name="Text Box 200">
          <a:extLst>
            <a:ext uri="{FF2B5EF4-FFF2-40B4-BE49-F238E27FC236}">
              <a16:creationId xmlns:a16="http://schemas.microsoft.com/office/drawing/2014/main" id="{00000000-0008-0000-0800-0000C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5" name="Text Box 201">
          <a:extLst>
            <a:ext uri="{FF2B5EF4-FFF2-40B4-BE49-F238E27FC236}">
              <a16:creationId xmlns:a16="http://schemas.microsoft.com/office/drawing/2014/main" id="{00000000-0008-0000-0800-0000C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6" name="Text Box 202">
          <a:extLst>
            <a:ext uri="{FF2B5EF4-FFF2-40B4-BE49-F238E27FC236}">
              <a16:creationId xmlns:a16="http://schemas.microsoft.com/office/drawing/2014/main" id="{00000000-0008-0000-0800-0000D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7" name="Text Box 203">
          <a:extLst>
            <a:ext uri="{FF2B5EF4-FFF2-40B4-BE49-F238E27FC236}">
              <a16:creationId xmlns:a16="http://schemas.microsoft.com/office/drawing/2014/main" id="{00000000-0008-0000-0800-0000D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8" name="Text Box 204">
          <a:extLst>
            <a:ext uri="{FF2B5EF4-FFF2-40B4-BE49-F238E27FC236}">
              <a16:creationId xmlns:a16="http://schemas.microsoft.com/office/drawing/2014/main" id="{00000000-0008-0000-0800-0000D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9" name="Text Box 205">
          <a:extLst>
            <a:ext uri="{FF2B5EF4-FFF2-40B4-BE49-F238E27FC236}">
              <a16:creationId xmlns:a16="http://schemas.microsoft.com/office/drawing/2014/main" id="{00000000-0008-0000-0800-0000D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0" name="Text Box 206">
          <a:extLst>
            <a:ext uri="{FF2B5EF4-FFF2-40B4-BE49-F238E27FC236}">
              <a16:creationId xmlns:a16="http://schemas.microsoft.com/office/drawing/2014/main" id="{00000000-0008-0000-0800-0000D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1" name="Text Box 207">
          <a:extLst>
            <a:ext uri="{FF2B5EF4-FFF2-40B4-BE49-F238E27FC236}">
              <a16:creationId xmlns:a16="http://schemas.microsoft.com/office/drawing/2014/main" id="{00000000-0008-0000-0800-0000D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2" name="Text Box 208">
          <a:extLst>
            <a:ext uri="{FF2B5EF4-FFF2-40B4-BE49-F238E27FC236}">
              <a16:creationId xmlns:a16="http://schemas.microsoft.com/office/drawing/2014/main" id="{00000000-0008-0000-0800-0000D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3" name="Text Box 209">
          <a:extLst>
            <a:ext uri="{FF2B5EF4-FFF2-40B4-BE49-F238E27FC236}">
              <a16:creationId xmlns:a16="http://schemas.microsoft.com/office/drawing/2014/main" id="{00000000-0008-0000-0800-0000D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4" name="Text Box 210">
          <a:extLst>
            <a:ext uri="{FF2B5EF4-FFF2-40B4-BE49-F238E27FC236}">
              <a16:creationId xmlns:a16="http://schemas.microsoft.com/office/drawing/2014/main" id="{00000000-0008-0000-0800-0000D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5" name="Text Box 211">
          <a:extLst>
            <a:ext uri="{FF2B5EF4-FFF2-40B4-BE49-F238E27FC236}">
              <a16:creationId xmlns:a16="http://schemas.microsoft.com/office/drawing/2014/main" id="{00000000-0008-0000-0800-0000D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6" name="Text Box 212">
          <a:extLst>
            <a:ext uri="{FF2B5EF4-FFF2-40B4-BE49-F238E27FC236}">
              <a16:creationId xmlns:a16="http://schemas.microsoft.com/office/drawing/2014/main" id="{00000000-0008-0000-0800-0000D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7" name="Text Box 213">
          <a:extLst>
            <a:ext uri="{FF2B5EF4-FFF2-40B4-BE49-F238E27FC236}">
              <a16:creationId xmlns:a16="http://schemas.microsoft.com/office/drawing/2014/main" id="{00000000-0008-0000-0800-0000D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8" name="Text Box 214">
          <a:extLst>
            <a:ext uri="{FF2B5EF4-FFF2-40B4-BE49-F238E27FC236}">
              <a16:creationId xmlns:a16="http://schemas.microsoft.com/office/drawing/2014/main" id="{00000000-0008-0000-0800-0000D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9" name="Text Box 215">
          <a:extLst>
            <a:ext uri="{FF2B5EF4-FFF2-40B4-BE49-F238E27FC236}">
              <a16:creationId xmlns:a16="http://schemas.microsoft.com/office/drawing/2014/main" id="{00000000-0008-0000-0800-0000D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0" name="Text Box 216">
          <a:extLst>
            <a:ext uri="{FF2B5EF4-FFF2-40B4-BE49-F238E27FC236}">
              <a16:creationId xmlns:a16="http://schemas.microsoft.com/office/drawing/2014/main" id="{00000000-0008-0000-0800-0000D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1" name="Text Box 217">
          <a:extLst>
            <a:ext uri="{FF2B5EF4-FFF2-40B4-BE49-F238E27FC236}">
              <a16:creationId xmlns:a16="http://schemas.microsoft.com/office/drawing/2014/main" id="{00000000-0008-0000-0800-0000D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2" name="Text Box 218">
          <a:extLst>
            <a:ext uri="{FF2B5EF4-FFF2-40B4-BE49-F238E27FC236}">
              <a16:creationId xmlns:a16="http://schemas.microsoft.com/office/drawing/2014/main" id="{00000000-0008-0000-0800-0000E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3" name="Text Box 219">
          <a:extLst>
            <a:ext uri="{FF2B5EF4-FFF2-40B4-BE49-F238E27FC236}">
              <a16:creationId xmlns:a16="http://schemas.microsoft.com/office/drawing/2014/main" id="{00000000-0008-0000-0800-0000E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4" name="Text Box 220">
          <a:extLst>
            <a:ext uri="{FF2B5EF4-FFF2-40B4-BE49-F238E27FC236}">
              <a16:creationId xmlns:a16="http://schemas.microsoft.com/office/drawing/2014/main" id="{00000000-0008-0000-0800-0000E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5" name="Text Box 221">
          <a:extLst>
            <a:ext uri="{FF2B5EF4-FFF2-40B4-BE49-F238E27FC236}">
              <a16:creationId xmlns:a16="http://schemas.microsoft.com/office/drawing/2014/main" id="{00000000-0008-0000-0800-0000E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6" name="Text Box 222">
          <a:extLst>
            <a:ext uri="{FF2B5EF4-FFF2-40B4-BE49-F238E27FC236}">
              <a16:creationId xmlns:a16="http://schemas.microsoft.com/office/drawing/2014/main" id="{00000000-0008-0000-0800-0000E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7" name="Text Box 223">
          <a:extLst>
            <a:ext uri="{FF2B5EF4-FFF2-40B4-BE49-F238E27FC236}">
              <a16:creationId xmlns:a16="http://schemas.microsoft.com/office/drawing/2014/main" id="{00000000-0008-0000-0800-0000E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8" name="Text Box 224">
          <a:extLst>
            <a:ext uri="{FF2B5EF4-FFF2-40B4-BE49-F238E27FC236}">
              <a16:creationId xmlns:a16="http://schemas.microsoft.com/office/drawing/2014/main" id="{00000000-0008-0000-0800-0000E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9" name="Text Box 225">
          <a:extLst>
            <a:ext uri="{FF2B5EF4-FFF2-40B4-BE49-F238E27FC236}">
              <a16:creationId xmlns:a16="http://schemas.microsoft.com/office/drawing/2014/main" id="{00000000-0008-0000-0800-0000E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60" name="Text Box 226">
          <a:extLst>
            <a:ext uri="{FF2B5EF4-FFF2-40B4-BE49-F238E27FC236}">
              <a16:creationId xmlns:a16="http://schemas.microsoft.com/office/drawing/2014/main" id="{00000000-0008-0000-0800-0000E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1" name="Text Box 227">
          <a:extLst>
            <a:ext uri="{FF2B5EF4-FFF2-40B4-BE49-F238E27FC236}">
              <a16:creationId xmlns:a16="http://schemas.microsoft.com/office/drawing/2014/main" id="{00000000-0008-0000-0800-0000E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2" name="Text Box 228">
          <a:extLst>
            <a:ext uri="{FF2B5EF4-FFF2-40B4-BE49-F238E27FC236}">
              <a16:creationId xmlns:a16="http://schemas.microsoft.com/office/drawing/2014/main" id="{00000000-0008-0000-0800-0000E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3" name="Text Box 229">
          <a:extLst>
            <a:ext uri="{FF2B5EF4-FFF2-40B4-BE49-F238E27FC236}">
              <a16:creationId xmlns:a16="http://schemas.microsoft.com/office/drawing/2014/main" id="{00000000-0008-0000-0800-0000E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4" name="Text Box 230">
          <a:extLst>
            <a:ext uri="{FF2B5EF4-FFF2-40B4-BE49-F238E27FC236}">
              <a16:creationId xmlns:a16="http://schemas.microsoft.com/office/drawing/2014/main" id="{00000000-0008-0000-0800-0000E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5" name="Text Box 231">
          <a:extLst>
            <a:ext uri="{FF2B5EF4-FFF2-40B4-BE49-F238E27FC236}">
              <a16:creationId xmlns:a16="http://schemas.microsoft.com/office/drawing/2014/main" id="{00000000-0008-0000-0800-0000E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6" name="Text Box 232">
          <a:extLst>
            <a:ext uri="{FF2B5EF4-FFF2-40B4-BE49-F238E27FC236}">
              <a16:creationId xmlns:a16="http://schemas.microsoft.com/office/drawing/2014/main" id="{00000000-0008-0000-0800-0000E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7" name="Text Box 233">
          <a:extLst>
            <a:ext uri="{FF2B5EF4-FFF2-40B4-BE49-F238E27FC236}">
              <a16:creationId xmlns:a16="http://schemas.microsoft.com/office/drawing/2014/main" id="{00000000-0008-0000-0800-0000E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8" name="Text Box 234">
          <a:extLst>
            <a:ext uri="{FF2B5EF4-FFF2-40B4-BE49-F238E27FC236}">
              <a16:creationId xmlns:a16="http://schemas.microsoft.com/office/drawing/2014/main" id="{00000000-0008-0000-0800-0000F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9" name="Text Box 235">
          <a:extLst>
            <a:ext uri="{FF2B5EF4-FFF2-40B4-BE49-F238E27FC236}">
              <a16:creationId xmlns:a16="http://schemas.microsoft.com/office/drawing/2014/main" id="{00000000-0008-0000-0800-0000F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0" name="Text Box 236">
          <a:extLst>
            <a:ext uri="{FF2B5EF4-FFF2-40B4-BE49-F238E27FC236}">
              <a16:creationId xmlns:a16="http://schemas.microsoft.com/office/drawing/2014/main" id="{00000000-0008-0000-0800-0000F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1" name="Text Box 237">
          <a:extLst>
            <a:ext uri="{FF2B5EF4-FFF2-40B4-BE49-F238E27FC236}">
              <a16:creationId xmlns:a16="http://schemas.microsoft.com/office/drawing/2014/main" id="{00000000-0008-0000-0800-0000F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2" name="Text Box 238">
          <a:extLst>
            <a:ext uri="{FF2B5EF4-FFF2-40B4-BE49-F238E27FC236}">
              <a16:creationId xmlns:a16="http://schemas.microsoft.com/office/drawing/2014/main" id="{00000000-0008-0000-0800-0000F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3" name="Text Box 239">
          <a:extLst>
            <a:ext uri="{FF2B5EF4-FFF2-40B4-BE49-F238E27FC236}">
              <a16:creationId xmlns:a16="http://schemas.microsoft.com/office/drawing/2014/main" id="{00000000-0008-0000-0800-0000F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4" name="Text Box 240">
          <a:extLst>
            <a:ext uri="{FF2B5EF4-FFF2-40B4-BE49-F238E27FC236}">
              <a16:creationId xmlns:a16="http://schemas.microsoft.com/office/drawing/2014/main" id="{00000000-0008-0000-0800-0000F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5" name="Text Box 241">
          <a:extLst>
            <a:ext uri="{FF2B5EF4-FFF2-40B4-BE49-F238E27FC236}">
              <a16:creationId xmlns:a16="http://schemas.microsoft.com/office/drawing/2014/main" id="{00000000-0008-0000-0800-0000F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6" name="Text Box 242">
          <a:extLst>
            <a:ext uri="{FF2B5EF4-FFF2-40B4-BE49-F238E27FC236}">
              <a16:creationId xmlns:a16="http://schemas.microsoft.com/office/drawing/2014/main" id="{00000000-0008-0000-0800-0000F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7" name="Text Box 243">
          <a:extLst>
            <a:ext uri="{FF2B5EF4-FFF2-40B4-BE49-F238E27FC236}">
              <a16:creationId xmlns:a16="http://schemas.microsoft.com/office/drawing/2014/main" id="{00000000-0008-0000-0800-0000F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8" name="Text Box 244">
          <a:extLst>
            <a:ext uri="{FF2B5EF4-FFF2-40B4-BE49-F238E27FC236}">
              <a16:creationId xmlns:a16="http://schemas.microsoft.com/office/drawing/2014/main" id="{00000000-0008-0000-0800-0000F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9" name="Text Box 245">
          <a:extLst>
            <a:ext uri="{FF2B5EF4-FFF2-40B4-BE49-F238E27FC236}">
              <a16:creationId xmlns:a16="http://schemas.microsoft.com/office/drawing/2014/main" id="{00000000-0008-0000-0800-0000F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0" name="Text Box 246">
          <a:extLst>
            <a:ext uri="{FF2B5EF4-FFF2-40B4-BE49-F238E27FC236}">
              <a16:creationId xmlns:a16="http://schemas.microsoft.com/office/drawing/2014/main" id="{00000000-0008-0000-0800-0000F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1" name="Text Box 247">
          <a:extLst>
            <a:ext uri="{FF2B5EF4-FFF2-40B4-BE49-F238E27FC236}">
              <a16:creationId xmlns:a16="http://schemas.microsoft.com/office/drawing/2014/main" id="{00000000-0008-0000-0800-0000F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2" name="Text Box 248">
          <a:extLst>
            <a:ext uri="{FF2B5EF4-FFF2-40B4-BE49-F238E27FC236}">
              <a16:creationId xmlns:a16="http://schemas.microsoft.com/office/drawing/2014/main" id="{00000000-0008-0000-0800-0000F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3" name="Text Box 249">
          <a:extLst>
            <a:ext uri="{FF2B5EF4-FFF2-40B4-BE49-F238E27FC236}">
              <a16:creationId xmlns:a16="http://schemas.microsoft.com/office/drawing/2014/main" id="{00000000-0008-0000-0800-0000F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4" name="Text Box 250">
          <a:extLst>
            <a:ext uri="{FF2B5EF4-FFF2-40B4-BE49-F238E27FC236}">
              <a16:creationId xmlns:a16="http://schemas.microsoft.com/office/drawing/2014/main" id="{00000000-0008-0000-0800-00000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5" name="Text Box 251">
          <a:extLst>
            <a:ext uri="{FF2B5EF4-FFF2-40B4-BE49-F238E27FC236}">
              <a16:creationId xmlns:a16="http://schemas.microsoft.com/office/drawing/2014/main" id="{00000000-0008-0000-0800-00000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6" name="Text Box 252">
          <a:extLst>
            <a:ext uri="{FF2B5EF4-FFF2-40B4-BE49-F238E27FC236}">
              <a16:creationId xmlns:a16="http://schemas.microsoft.com/office/drawing/2014/main" id="{00000000-0008-0000-0800-00000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7" name="Text Box 253">
          <a:extLst>
            <a:ext uri="{FF2B5EF4-FFF2-40B4-BE49-F238E27FC236}">
              <a16:creationId xmlns:a16="http://schemas.microsoft.com/office/drawing/2014/main" id="{00000000-0008-0000-0800-00000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8" name="Text Box 254">
          <a:extLst>
            <a:ext uri="{FF2B5EF4-FFF2-40B4-BE49-F238E27FC236}">
              <a16:creationId xmlns:a16="http://schemas.microsoft.com/office/drawing/2014/main" id="{00000000-0008-0000-0800-00000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9" name="Text Box 255">
          <a:extLst>
            <a:ext uri="{FF2B5EF4-FFF2-40B4-BE49-F238E27FC236}">
              <a16:creationId xmlns:a16="http://schemas.microsoft.com/office/drawing/2014/main" id="{00000000-0008-0000-0800-00000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0" name="Text Box 256">
          <a:extLst>
            <a:ext uri="{FF2B5EF4-FFF2-40B4-BE49-F238E27FC236}">
              <a16:creationId xmlns:a16="http://schemas.microsoft.com/office/drawing/2014/main" id="{00000000-0008-0000-0800-00000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1" name="Text Box 257">
          <a:extLst>
            <a:ext uri="{FF2B5EF4-FFF2-40B4-BE49-F238E27FC236}">
              <a16:creationId xmlns:a16="http://schemas.microsoft.com/office/drawing/2014/main" id="{00000000-0008-0000-0800-00000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2" name="Text Box 258">
          <a:extLst>
            <a:ext uri="{FF2B5EF4-FFF2-40B4-BE49-F238E27FC236}">
              <a16:creationId xmlns:a16="http://schemas.microsoft.com/office/drawing/2014/main" id="{00000000-0008-0000-0800-00000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3" name="Text Box 259">
          <a:extLst>
            <a:ext uri="{FF2B5EF4-FFF2-40B4-BE49-F238E27FC236}">
              <a16:creationId xmlns:a16="http://schemas.microsoft.com/office/drawing/2014/main" id="{00000000-0008-0000-0800-00000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4" name="Text Box 260">
          <a:extLst>
            <a:ext uri="{FF2B5EF4-FFF2-40B4-BE49-F238E27FC236}">
              <a16:creationId xmlns:a16="http://schemas.microsoft.com/office/drawing/2014/main" id="{00000000-0008-0000-0800-00000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5" name="Text Box 261">
          <a:extLst>
            <a:ext uri="{FF2B5EF4-FFF2-40B4-BE49-F238E27FC236}">
              <a16:creationId xmlns:a16="http://schemas.microsoft.com/office/drawing/2014/main" id="{00000000-0008-0000-0800-00000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6" name="Text Box 262">
          <a:extLst>
            <a:ext uri="{FF2B5EF4-FFF2-40B4-BE49-F238E27FC236}">
              <a16:creationId xmlns:a16="http://schemas.microsoft.com/office/drawing/2014/main" id="{00000000-0008-0000-0800-00000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7" name="Text Box 263">
          <a:extLst>
            <a:ext uri="{FF2B5EF4-FFF2-40B4-BE49-F238E27FC236}">
              <a16:creationId xmlns:a16="http://schemas.microsoft.com/office/drawing/2014/main" id="{00000000-0008-0000-0800-00000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8" name="Text Box 264">
          <a:extLst>
            <a:ext uri="{FF2B5EF4-FFF2-40B4-BE49-F238E27FC236}">
              <a16:creationId xmlns:a16="http://schemas.microsoft.com/office/drawing/2014/main" id="{00000000-0008-0000-0800-00000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9" name="Text Box 265">
          <a:extLst>
            <a:ext uri="{FF2B5EF4-FFF2-40B4-BE49-F238E27FC236}">
              <a16:creationId xmlns:a16="http://schemas.microsoft.com/office/drawing/2014/main" id="{00000000-0008-0000-0800-00000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0" name="Text Box 266">
          <a:extLst>
            <a:ext uri="{FF2B5EF4-FFF2-40B4-BE49-F238E27FC236}">
              <a16:creationId xmlns:a16="http://schemas.microsoft.com/office/drawing/2014/main" id="{00000000-0008-0000-0800-00001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1" name="Text Box 267">
          <a:extLst>
            <a:ext uri="{FF2B5EF4-FFF2-40B4-BE49-F238E27FC236}">
              <a16:creationId xmlns:a16="http://schemas.microsoft.com/office/drawing/2014/main" id="{00000000-0008-0000-0800-00001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2" name="Text Box 268">
          <a:extLst>
            <a:ext uri="{FF2B5EF4-FFF2-40B4-BE49-F238E27FC236}">
              <a16:creationId xmlns:a16="http://schemas.microsoft.com/office/drawing/2014/main" id="{00000000-0008-0000-0800-00001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3" name="Text Box 269">
          <a:extLst>
            <a:ext uri="{FF2B5EF4-FFF2-40B4-BE49-F238E27FC236}">
              <a16:creationId xmlns:a16="http://schemas.microsoft.com/office/drawing/2014/main" id="{00000000-0008-0000-0800-00001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4" name="Text Box 270">
          <a:extLst>
            <a:ext uri="{FF2B5EF4-FFF2-40B4-BE49-F238E27FC236}">
              <a16:creationId xmlns:a16="http://schemas.microsoft.com/office/drawing/2014/main" id="{00000000-0008-0000-0800-00001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5" name="Text Box 271">
          <a:extLst>
            <a:ext uri="{FF2B5EF4-FFF2-40B4-BE49-F238E27FC236}">
              <a16:creationId xmlns:a16="http://schemas.microsoft.com/office/drawing/2014/main" id="{00000000-0008-0000-0800-00001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6" name="Text Box 272">
          <a:extLst>
            <a:ext uri="{FF2B5EF4-FFF2-40B4-BE49-F238E27FC236}">
              <a16:creationId xmlns:a16="http://schemas.microsoft.com/office/drawing/2014/main" id="{00000000-0008-0000-0800-00001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7" name="Text Box 273">
          <a:extLst>
            <a:ext uri="{FF2B5EF4-FFF2-40B4-BE49-F238E27FC236}">
              <a16:creationId xmlns:a16="http://schemas.microsoft.com/office/drawing/2014/main" id="{00000000-0008-0000-0800-00001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8" name="Text Box 274">
          <a:extLst>
            <a:ext uri="{FF2B5EF4-FFF2-40B4-BE49-F238E27FC236}">
              <a16:creationId xmlns:a16="http://schemas.microsoft.com/office/drawing/2014/main" id="{00000000-0008-0000-0800-00001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9" name="Text Box 275">
          <a:extLst>
            <a:ext uri="{FF2B5EF4-FFF2-40B4-BE49-F238E27FC236}">
              <a16:creationId xmlns:a16="http://schemas.microsoft.com/office/drawing/2014/main" id="{00000000-0008-0000-0800-00001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0" name="Text Box 276">
          <a:extLst>
            <a:ext uri="{FF2B5EF4-FFF2-40B4-BE49-F238E27FC236}">
              <a16:creationId xmlns:a16="http://schemas.microsoft.com/office/drawing/2014/main" id="{00000000-0008-0000-0800-00001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1" name="Text Box 277">
          <a:extLst>
            <a:ext uri="{FF2B5EF4-FFF2-40B4-BE49-F238E27FC236}">
              <a16:creationId xmlns:a16="http://schemas.microsoft.com/office/drawing/2014/main" id="{00000000-0008-0000-0800-00001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2" name="Text Box 278">
          <a:extLst>
            <a:ext uri="{FF2B5EF4-FFF2-40B4-BE49-F238E27FC236}">
              <a16:creationId xmlns:a16="http://schemas.microsoft.com/office/drawing/2014/main" id="{00000000-0008-0000-0800-00001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3" name="Text Box 279">
          <a:extLst>
            <a:ext uri="{FF2B5EF4-FFF2-40B4-BE49-F238E27FC236}">
              <a16:creationId xmlns:a16="http://schemas.microsoft.com/office/drawing/2014/main" id="{00000000-0008-0000-0800-00001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4" name="Text Box 280">
          <a:extLst>
            <a:ext uri="{FF2B5EF4-FFF2-40B4-BE49-F238E27FC236}">
              <a16:creationId xmlns:a16="http://schemas.microsoft.com/office/drawing/2014/main" id="{00000000-0008-0000-0800-00001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5" name="Text Box 281">
          <a:extLst>
            <a:ext uri="{FF2B5EF4-FFF2-40B4-BE49-F238E27FC236}">
              <a16:creationId xmlns:a16="http://schemas.microsoft.com/office/drawing/2014/main" id="{00000000-0008-0000-0800-00001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6" name="Text Box 282">
          <a:extLst>
            <a:ext uri="{FF2B5EF4-FFF2-40B4-BE49-F238E27FC236}">
              <a16:creationId xmlns:a16="http://schemas.microsoft.com/office/drawing/2014/main" id="{00000000-0008-0000-0800-00002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7" name="Text Box 283">
          <a:extLst>
            <a:ext uri="{FF2B5EF4-FFF2-40B4-BE49-F238E27FC236}">
              <a16:creationId xmlns:a16="http://schemas.microsoft.com/office/drawing/2014/main" id="{00000000-0008-0000-0800-00002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8" name="Text Box 284">
          <a:extLst>
            <a:ext uri="{FF2B5EF4-FFF2-40B4-BE49-F238E27FC236}">
              <a16:creationId xmlns:a16="http://schemas.microsoft.com/office/drawing/2014/main" id="{00000000-0008-0000-0800-00002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9" name="Text Box 285">
          <a:extLst>
            <a:ext uri="{FF2B5EF4-FFF2-40B4-BE49-F238E27FC236}">
              <a16:creationId xmlns:a16="http://schemas.microsoft.com/office/drawing/2014/main" id="{00000000-0008-0000-0800-00002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0" name="Text Box 286">
          <a:extLst>
            <a:ext uri="{FF2B5EF4-FFF2-40B4-BE49-F238E27FC236}">
              <a16:creationId xmlns:a16="http://schemas.microsoft.com/office/drawing/2014/main" id="{00000000-0008-0000-0800-00002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1" name="Text Box 287">
          <a:extLst>
            <a:ext uri="{FF2B5EF4-FFF2-40B4-BE49-F238E27FC236}">
              <a16:creationId xmlns:a16="http://schemas.microsoft.com/office/drawing/2014/main" id="{00000000-0008-0000-0800-00002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2" name="Text Box 288">
          <a:extLst>
            <a:ext uri="{FF2B5EF4-FFF2-40B4-BE49-F238E27FC236}">
              <a16:creationId xmlns:a16="http://schemas.microsoft.com/office/drawing/2014/main" id="{00000000-0008-0000-0800-00002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3" name="Text Box 289">
          <a:extLst>
            <a:ext uri="{FF2B5EF4-FFF2-40B4-BE49-F238E27FC236}">
              <a16:creationId xmlns:a16="http://schemas.microsoft.com/office/drawing/2014/main" id="{00000000-0008-0000-0800-00002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4" name="Text Box 290">
          <a:extLst>
            <a:ext uri="{FF2B5EF4-FFF2-40B4-BE49-F238E27FC236}">
              <a16:creationId xmlns:a16="http://schemas.microsoft.com/office/drawing/2014/main" id="{00000000-0008-0000-0800-00002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5" name="Text Box 291">
          <a:extLst>
            <a:ext uri="{FF2B5EF4-FFF2-40B4-BE49-F238E27FC236}">
              <a16:creationId xmlns:a16="http://schemas.microsoft.com/office/drawing/2014/main" id="{00000000-0008-0000-0800-00002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6" name="Text Box 292">
          <a:extLst>
            <a:ext uri="{FF2B5EF4-FFF2-40B4-BE49-F238E27FC236}">
              <a16:creationId xmlns:a16="http://schemas.microsoft.com/office/drawing/2014/main" id="{00000000-0008-0000-0800-00002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7" name="Text Box 293">
          <a:extLst>
            <a:ext uri="{FF2B5EF4-FFF2-40B4-BE49-F238E27FC236}">
              <a16:creationId xmlns:a16="http://schemas.microsoft.com/office/drawing/2014/main" id="{00000000-0008-0000-0800-00002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8" name="Text Box 294">
          <a:extLst>
            <a:ext uri="{FF2B5EF4-FFF2-40B4-BE49-F238E27FC236}">
              <a16:creationId xmlns:a16="http://schemas.microsoft.com/office/drawing/2014/main" id="{00000000-0008-0000-0800-00002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9" name="Text Box 295">
          <a:extLst>
            <a:ext uri="{FF2B5EF4-FFF2-40B4-BE49-F238E27FC236}">
              <a16:creationId xmlns:a16="http://schemas.microsoft.com/office/drawing/2014/main" id="{00000000-0008-0000-0800-00002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30" name="Text Box 296">
          <a:extLst>
            <a:ext uri="{FF2B5EF4-FFF2-40B4-BE49-F238E27FC236}">
              <a16:creationId xmlns:a16="http://schemas.microsoft.com/office/drawing/2014/main" id="{00000000-0008-0000-0800-00002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1" name="Text Box 297">
          <a:extLst>
            <a:ext uri="{FF2B5EF4-FFF2-40B4-BE49-F238E27FC236}">
              <a16:creationId xmlns:a16="http://schemas.microsoft.com/office/drawing/2014/main" id="{00000000-0008-0000-0800-00002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2" name="Text Box 298">
          <a:extLst>
            <a:ext uri="{FF2B5EF4-FFF2-40B4-BE49-F238E27FC236}">
              <a16:creationId xmlns:a16="http://schemas.microsoft.com/office/drawing/2014/main" id="{00000000-0008-0000-0800-00003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3" name="Text Box 299">
          <a:extLst>
            <a:ext uri="{FF2B5EF4-FFF2-40B4-BE49-F238E27FC236}">
              <a16:creationId xmlns:a16="http://schemas.microsoft.com/office/drawing/2014/main" id="{00000000-0008-0000-0800-00003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4" name="Text Box 300">
          <a:extLst>
            <a:ext uri="{FF2B5EF4-FFF2-40B4-BE49-F238E27FC236}">
              <a16:creationId xmlns:a16="http://schemas.microsoft.com/office/drawing/2014/main" id="{00000000-0008-0000-0800-00003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5" name="Text Box 301">
          <a:extLst>
            <a:ext uri="{FF2B5EF4-FFF2-40B4-BE49-F238E27FC236}">
              <a16:creationId xmlns:a16="http://schemas.microsoft.com/office/drawing/2014/main" id="{00000000-0008-0000-0800-00003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6" name="Text Box 302">
          <a:extLst>
            <a:ext uri="{FF2B5EF4-FFF2-40B4-BE49-F238E27FC236}">
              <a16:creationId xmlns:a16="http://schemas.microsoft.com/office/drawing/2014/main" id="{00000000-0008-0000-0800-00003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7" name="Text Box 303">
          <a:extLst>
            <a:ext uri="{FF2B5EF4-FFF2-40B4-BE49-F238E27FC236}">
              <a16:creationId xmlns:a16="http://schemas.microsoft.com/office/drawing/2014/main" id="{00000000-0008-0000-0800-00003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8" name="Text Box 304">
          <a:extLst>
            <a:ext uri="{FF2B5EF4-FFF2-40B4-BE49-F238E27FC236}">
              <a16:creationId xmlns:a16="http://schemas.microsoft.com/office/drawing/2014/main" id="{00000000-0008-0000-0800-00003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9" name="Text Box 305">
          <a:extLst>
            <a:ext uri="{FF2B5EF4-FFF2-40B4-BE49-F238E27FC236}">
              <a16:creationId xmlns:a16="http://schemas.microsoft.com/office/drawing/2014/main" id="{00000000-0008-0000-0800-00003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0" name="Text Box 306">
          <a:extLst>
            <a:ext uri="{FF2B5EF4-FFF2-40B4-BE49-F238E27FC236}">
              <a16:creationId xmlns:a16="http://schemas.microsoft.com/office/drawing/2014/main" id="{00000000-0008-0000-0800-00003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1" name="Text Box 307">
          <a:extLst>
            <a:ext uri="{FF2B5EF4-FFF2-40B4-BE49-F238E27FC236}">
              <a16:creationId xmlns:a16="http://schemas.microsoft.com/office/drawing/2014/main" id="{00000000-0008-0000-0800-00003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2" name="Text Box 308">
          <a:extLst>
            <a:ext uri="{FF2B5EF4-FFF2-40B4-BE49-F238E27FC236}">
              <a16:creationId xmlns:a16="http://schemas.microsoft.com/office/drawing/2014/main" id="{00000000-0008-0000-0800-00003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3" name="Text Box 309">
          <a:extLst>
            <a:ext uri="{FF2B5EF4-FFF2-40B4-BE49-F238E27FC236}">
              <a16:creationId xmlns:a16="http://schemas.microsoft.com/office/drawing/2014/main" id="{00000000-0008-0000-0800-00003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4" name="Text Box 310">
          <a:extLst>
            <a:ext uri="{FF2B5EF4-FFF2-40B4-BE49-F238E27FC236}">
              <a16:creationId xmlns:a16="http://schemas.microsoft.com/office/drawing/2014/main" id="{00000000-0008-0000-0800-00003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5" name="Text Box 311">
          <a:extLst>
            <a:ext uri="{FF2B5EF4-FFF2-40B4-BE49-F238E27FC236}">
              <a16:creationId xmlns:a16="http://schemas.microsoft.com/office/drawing/2014/main" id="{00000000-0008-0000-0800-00003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6" name="Text Box 312">
          <a:extLst>
            <a:ext uri="{FF2B5EF4-FFF2-40B4-BE49-F238E27FC236}">
              <a16:creationId xmlns:a16="http://schemas.microsoft.com/office/drawing/2014/main" id="{00000000-0008-0000-0800-00003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7" name="Text Box 313">
          <a:extLst>
            <a:ext uri="{FF2B5EF4-FFF2-40B4-BE49-F238E27FC236}">
              <a16:creationId xmlns:a16="http://schemas.microsoft.com/office/drawing/2014/main" id="{00000000-0008-0000-0800-00003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8" name="Text Box 314">
          <a:extLst>
            <a:ext uri="{FF2B5EF4-FFF2-40B4-BE49-F238E27FC236}">
              <a16:creationId xmlns:a16="http://schemas.microsoft.com/office/drawing/2014/main" id="{00000000-0008-0000-0800-00004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9" name="Text Box 315">
          <a:extLst>
            <a:ext uri="{FF2B5EF4-FFF2-40B4-BE49-F238E27FC236}">
              <a16:creationId xmlns:a16="http://schemas.microsoft.com/office/drawing/2014/main" id="{00000000-0008-0000-0800-00004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0" name="Text Box 316">
          <a:extLst>
            <a:ext uri="{FF2B5EF4-FFF2-40B4-BE49-F238E27FC236}">
              <a16:creationId xmlns:a16="http://schemas.microsoft.com/office/drawing/2014/main" id="{00000000-0008-0000-0800-00004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1" name="Text Box 317">
          <a:extLst>
            <a:ext uri="{FF2B5EF4-FFF2-40B4-BE49-F238E27FC236}">
              <a16:creationId xmlns:a16="http://schemas.microsoft.com/office/drawing/2014/main" id="{00000000-0008-0000-0800-00004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2" name="Text Box 318">
          <a:extLst>
            <a:ext uri="{FF2B5EF4-FFF2-40B4-BE49-F238E27FC236}">
              <a16:creationId xmlns:a16="http://schemas.microsoft.com/office/drawing/2014/main" id="{00000000-0008-0000-0800-00004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3" name="Text Box 319">
          <a:extLst>
            <a:ext uri="{FF2B5EF4-FFF2-40B4-BE49-F238E27FC236}">
              <a16:creationId xmlns:a16="http://schemas.microsoft.com/office/drawing/2014/main" id="{00000000-0008-0000-0800-00004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4" name="Text Box 320">
          <a:extLst>
            <a:ext uri="{FF2B5EF4-FFF2-40B4-BE49-F238E27FC236}">
              <a16:creationId xmlns:a16="http://schemas.microsoft.com/office/drawing/2014/main" id="{00000000-0008-0000-0800-00004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5" name="Text Box 28">
          <a:extLst>
            <a:ext uri="{FF2B5EF4-FFF2-40B4-BE49-F238E27FC236}">
              <a16:creationId xmlns:a16="http://schemas.microsoft.com/office/drawing/2014/main" id="{00000000-0008-0000-0800-00004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6" name="Text Box 29">
          <a:extLst>
            <a:ext uri="{FF2B5EF4-FFF2-40B4-BE49-F238E27FC236}">
              <a16:creationId xmlns:a16="http://schemas.microsoft.com/office/drawing/2014/main" id="{00000000-0008-0000-0800-00004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7" name="Text Box 30">
          <a:extLst>
            <a:ext uri="{FF2B5EF4-FFF2-40B4-BE49-F238E27FC236}">
              <a16:creationId xmlns:a16="http://schemas.microsoft.com/office/drawing/2014/main" id="{00000000-0008-0000-0800-00004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8" name="Text Box 31">
          <a:extLst>
            <a:ext uri="{FF2B5EF4-FFF2-40B4-BE49-F238E27FC236}">
              <a16:creationId xmlns:a16="http://schemas.microsoft.com/office/drawing/2014/main" id="{00000000-0008-0000-0800-00004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9" name="Text Box 32">
          <a:extLst>
            <a:ext uri="{FF2B5EF4-FFF2-40B4-BE49-F238E27FC236}">
              <a16:creationId xmlns:a16="http://schemas.microsoft.com/office/drawing/2014/main" id="{00000000-0008-0000-0800-00004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0" name="Text Box 33">
          <a:extLst>
            <a:ext uri="{FF2B5EF4-FFF2-40B4-BE49-F238E27FC236}">
              <a16:creationId xmlns:a16="http://schemas.microsoft.com/office/drawing/2014/main" id="{00000000-0008-0000-0800-00004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1" name="Text Box 34">
          <a:extLst>
            <a:ext uri="{FF2B5EF4-FFF2-40B4-BE49-F238E27FC236}">
              <a16:creationId xmlns:a16="http://schemas.microsoft.com/office/drawing/2014/main" id="{00000000-0008-0000-0800-00004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2" name="Text Box 35">
          <a:extLst>
            <a:ext uri="{FF2B5EF4-FFF2-40B4-BE49-F238E27FC236}">
              <a16:creationId xmlns:a16="http://schemas.microsoft.com/office/drawing/2014/main" id="{00000000-0008-0000-0800-00004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3" name="Text Box 36">
          <a:extLst>
            <a:ext uri="{FF2B5EF4-FFF2-40B4-BE49-F238E27FC236}">
              <a16:creationId xmlns:a16="http://schemas.microsoft.com/office/drawing/2014/main" id="{00000000-0008-0000-0800-00004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4" name="Text Box 37">
          <a:extLst>
            <a:ext uri="{FF2B5EF4-FFF2-40B4-BE49-F238E27FC236}">
              <a16:creationId xmlns:a16="http://schemas.microsoft.com/office/drawing/2014/main" id="{00000000-0008-0000-0800-00005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5" name="Text Box 38">
          <a:extLst>
            <a:ext uri="{FF2B5EF4-FFF2-40B4-BE49-F238E27FC236}">
              <a16:creationId xmlns:a16="http://schemas.microsoft.com/office/drawing/2014/main" id="{00000000-0008-0000-0800-00005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6" name="Text Box 39">
          <a:extLst>
            <a:ext uri="{FF2B5EF4-FFF2-40B4-BE49-F238E27FC236}">
              <a16:creationId xmlns:a16="http://schemas.microsoft.com/office/drawing/2014/main" id="{00000000-0008-0000-0800-00005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7" name="Text Box 40">
          <a:extLst>
            <a:ext uri="{FF2B5EF4-FFF2-40B4-BE49-F238E27FC236}">
              <a16:creationId xmlns:a16="http://schemas.microsoft.com/office/drawing/2014/main" id="{00000000-0008-0000-0800-00005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8" name="Text Box 41">
          <a:extLst>
            <a:ext uri="{FF2B5EF4-FFF2-40B4-BE49-F238E27FC236}">
              <a16:creationId xmlns:a16="http://schemas.microsoft.com/office/drawing/2014/main" id="{00000000-0008-0000-0800-00005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9" name="Text Box 42">
          <a:extLst>
            <a:ext uri="{FF2B5EF4-FFF2-40B4-BE49-F238E27FC236}">
              <a16:creationId xmlns:a16="http://schemas.microsoft.com/office/drawing/2014/main" id="{00000000-0008-0000-0800-00005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0" name="Text Box 43">
          <a:extLst>
            <a:ext uri="{FF2B5EF4-FFF2-40B4-BE49-F238E27FC236}">
              <a16:creationId xmlns:a16="http://schemas.microsoft.com/office/drawing/2014/main" id="{00000000-0008-0000-0800-00005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1" name="Text Box 44">
          <a:extLst>
            <a:ext uri="{FF2B5EF4-FFF2-40B4-BE49-F238E27FC236}">
              <a16:creationId xmlns:a16="http://schemas.microsoft.com/office/drawing/2014/main" id="{00000000-0008-0000-0800-00005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2" name="Text Box 45">
          <a:extLst>
            <a:ext uri="{FF2B5EF4-FFF2-40B4-BE49-F238E27FC236}">
              <a16:creationId xmlns:a16="http://schemas.microsoft.com/office/drawing/2014/main" id="{00000000-0008-0000-0800-00005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3" name="Text Box 46">
          <a:extLst>
            <a:ext uri="{FF2B5EF4-FFF2-40B4-BE49-F238E27FC236}">
              <a16:creationId xmlns:a16="http://schemas.microsoft.com/office/drawing/2014/main" id="{00000000-0008-0000-0800-00005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4" name="Text Box 47">
          <a:extLst>
            <a:ext uri="{FF2B5EF4-FFF2-40B4-BE49-F238E27FC236}">
              <a16:creationId xmlns:a16="http://schemas.microsoft.com/office/drawing/2014/main" id="{00000000-0008-0000-0800-00005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5" name="Text Box 48">
          <a:extLst>
            <a:ext uri="{FF2B5EF4-FFF2-40B4-BE49-F238E27FC236}">
              <a16:creationId xmlns:a16="http://schemas.microsoft.com/office/drawing/2014/main" id="{00000000-0008-0000-0800-00005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6" name="Text Box 49">
          <a:extLst>
            <a:ext uri="{FF2B5EF4-FFF2-40B4-BE49-F238E27FC236}">
              <a16:creationId xmlns:a16="http://schemas.microsoft.com/office/drawing/2014/main" id="{00000000-0008-0000-0800-00005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7" name="Text Box 50">
          <a:extLst>
            <a:ext uri="{FF2B5EF4-FFF2-40B4-BE49-F238E27FC236}">
              <a16:creationId xmlns:a16="http://schemas.microsoft.com/office/drawing/2014/main" id="{00000000-0008-0000-0800-00005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8" name="Text Box 51">
          <a:extLst>
            <a:ext uri="{FF2B5EF4-FFF2-40B4-BE49-F238E27FC236}">
              <a16:creationId xmlns:a16="http://schemas.microsoft.com/office/drawing/2014/main" id="{00000000-0008-0000-0800-00005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9" name="Text Box 52">
          <a:extLst>
            <a:ext uri="{FF2B5EF4-FFF2-40B4-BE49-F238E27FC236}">
              <a16:creationId xmlns:a16="http://schemas.microsoft.com/office/drawing/2014/main" id="{00000000-0008-0000-0800-00005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0" name="Text Box 53">
          <a:extLst>
            <a:ext uri="{FF2B5EF4-FFF2-40B4-BE49-F238E27FC236}">
              <a16:creationId xmlns:a16="http://schemas.microsoft.com/office/drawing/2014/main" id="{00000000-0008-0000-0800-00006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1" name="Text Box 54">
          <a:extLst>
            <a:ext uri="{FF2B5EF4-FFF2-40B4-BE49-F238E27FC236}">
              <a16:creationId xmlns:a16="http://schemas.microsoft.com/office/drawing/2014/main" id="{00000000-0008-0000-0800-00006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2" name="Text Box 55">
          <a:extLst>
            <a:ext uri="{FF2B5EF4-FFF2-40B4-BE49-F238E27FC236}">
              <a16:creationId xmlns:a16="http://schemas.microsoft.com/office/drawing/2014/main" id="{00000000-0008-0000-0800-00006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3" name="Text Box 56">
          <a:extLst>
            <a:ext uri="{FF2B5EF4-FFF2-40B4-BE49-F238E27FC236}">
              <a16:creationId xmlns:a16="http://schemas.microsoft.com/office/drawing/2014/main" id="{00000000-0008-0000-0800-00006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4" name="Text Box 57">
          <a:extLst>
            <a:ext uri="{FF2B5EF4-FFF2-40B4-BE49-F238E27FC236}">
              <a16:creationId xmlns:a16="http://schemas.microsoft.com/office/drawing/2014/main" id="{00000000-0008-0000-0800-00006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5" name="Text Box 58">
          <a:extLst>
            <a:ext uri="{FF2B5EF4-FFF2-40B4-BE49-F238E27FC236}">
              <a16:creationId xmlns:a16="http://schemas.microsoft.com/office/drawing/2014/main" id="{00000000-0008-0000-0800-00006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6" name="Text Box 59">
          <a:extLst>
            <a:ext uri="{FF2B5EF4-FFF2-40B4-BE49-F238E27FC236}">
              <a16:creationId xmlns:a16="http://schemas.microsoft.com/office/drawing/2014/main" id="{00000000-0008-0000-0800-00006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7" name="Text Box 60">
          <a:extLst>
            <a:ext uri="{FF2B5EF4-FFF2-40B4-BE49-F238E27FC236}">
              <a16:creationId xmlns:a16="http://schemas.microsoft.com/office/drawing/2014/main" id="{00000000-0008-0000-0800-00006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8" name="Text Box 61">
          <a:extLst>
            <a:ext uri="{FF2B5EF4-FFF2-40B4-BE49-F238E27FC236}">
              <a16:creationId xmlns:a16="http://schemas.microsoft.com/office/drawing/2014/main" id="{00000000-0008-0000-0800-00006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9" name="Text Box 62">
          <a:extLst>
            <a:ext uri="{FF2B5EF4-FFF2-40B4-BE49-F238E27FC236}">
              <a16:creationId xmlns:a16="http://schemas.microsoft.com/office/drawing/2014/main" id="{00000000-0008-0000-0800-00006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0" name="Text Box 63">
          <a:extLst>
            <a:ext uri="{FF2B5EF4-FFF2-40B4-BE49-F238E27FC236}">
              <a16:creationId xmlns:a16="http://schemas.microsoft.com/office/drawing/2014/main" id="{00000000-0008-0000-0800-00006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1" name="Text Box 64">
          <a:extLst>
            <a:ext uri="{FF2B5EF4-FFF2-40B4-BE49-F238E27FC236}">
              <a16:creationId xmlns:a16="http://schemas.microsoft.com/office/drawing/2014/main" id="{00000000-0008-0000-0800-00006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2" name="Text Box 65">
          <a:extLst>
            <a:ext uri="{FF2B5EF4-FFF2-40B4-BE49-F238E27FC236}">
              <a16:creationId xmlns:a16="http://schemas.microsoft.com/office/drawing/2014/main" id="{00000000-0008-0000-0800-00006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3" name="Text Box 66">
          <a:extLst>
            <a:ext uri="{FF2B5EF4-FFF2-40B4-BE49-F238E27FC236}">
              <a16:creationId xmlns:a16="http://schemas.microsoft.com/office/drawing/2014/main" id="{00000000-0008-0000-0800-00006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4" name="Text Box 67">
          <a:extLst>
            <a:ext uri="{FF2B5EF4-FFF2-40B4-BE49-F238E27FC236}">
              <a16:creationId xmlns:a16="http://schemas.microsoft.com/office/drawing/2014/main" id="{00000000-0008-0000-0800-00006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5" name="Text Box 68">
          <a:extLst>
            <a:ext uri="{FF2B5EF4-FFF2-40B4-BE49-F238E27FC236}">
              <a16:creationId xmlns:a16="http://schemas.microsoft.com/office/drawing/2014/main" id="{00000000-0008-0000-0800-00006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6" name="Text Box 69">
          <a:extLst>
            <a:ext uri="{FF2B5EF4-FFF2-40B4-BE49-F238E27FC236}">
              <a16:creationId xmlns:a16="http://schemas.microsoft.com/office/drawing/2014/main" id="{00000000-0008-0000-0800-00007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7" name="Text Box 70">
          <a:extLst>
            <a:ext uri="{FF2B5EF4-FFF2-40B4-BE49-F238E27FC236}">
              <a16:creationId xmlns:a16="http://schemas.microsoft.com/office/drawing/2014/main" id="{00000000-0008-0000-0800-00007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8" name="Text Box 71">
          <a:extLst>
            <a:ext uri="{FF2B5EF4-FFF2-40B4-BE49-F238E27FC236}">
              <a16:creationId xmlns:a16="http://schemas.microsoft.com/office/drawing/2014/main" id="{00000000-0008-0000-0800-00007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9" name="Text Box 72">
          <a:extLst>
            <a:ext uri="{FF2B5EF4-FFF2-40B4-BE49-F238E27FC236}">
              <a16:creationId xmlns:a16="http://schemas.microsoft.com/office/drawing/2014/main" id="{00000000-0008-0000-0800-00007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0" name="Text Box 73">
          <a:extLst>
            <a:ext uri="{FF2B5EF4-FFF2-40B4-BE49-F238E27FC236}">
              <a16:creationId xmlns:a16="http://schemas.microsoft.com/office/drawing/2014/main" id="{00000000-0008-0000-0800-00007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1" name="Text Box 74">
          <a:extLst>
            <a:ext uri="{FF2B5EF4-FFF2-40B4-BE49-F238E27FC236}">
              <a16:creationId xmlns:a16="http://schemas.microsoft.com/office/drawing/2014/main" id="{00000000-0008-0000-0800-00007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2" name="Text Box 75">
          <a:extLst>
            <a:ext uri="{FF2B5EF4-FFF2-40B4-BE49-F238E27FC236}">
              <a16:creationId xmlns:a16="http://schemas.microsoft.com/office/drawing/2014/main" id="{00000000-0008-0000-0800-00007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3" name="Text Box 76">
          <a:extLst>
            <a:ext uri="{FF2B5EF4-FFF2-40B4-BE49-F238E27FC236}">
              <a16:creationId xmlns:a16="http://schemas.microsoft.com/office/drawing/2014/main" id="{00000000-0008-0000-0800-00007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4" name="Text Box 77">
          <a:extLst>
            <a:ext uri="{FF2B5EF4-FFF2-40B4-BE49-F238E27FC236}">
              <a16:creationId xmlns:a16="http://schemas.microsoft.com/office/drawing/2014/main" id="{00000000-0008-0000-0800-00007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5" name="Text Box 78">
          <a:extLst>
            <a:ext uri="{FF2B5EF4-FFF2-40B4-BE49-F238E27FC236}">
              <a16:creationId xmlns:a16="http://schemas.microsoft.com/office/drawing/2014/main" id="{00000000-0008-0000-0800-00007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6" name="Text Box 79">
          <a:extLst>
            <a:ext uri="{FF2B5EF4-FFF2-40B4-BE49-F238E27FC236}">
              <a16:creationId xmlns:a16="http://schemas.microsoft.com/office/drawing/2014/main" id="{00000000-0008-0000-0800-00007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7" name="Text Box 80">
          <a:extLst>
            <a:ext uri="{FF2B5EF4-FFF2-40B4-BE49-F238E27FC236}">
              <a16:creationId xmlns:a16="http://schemas.microsoft.com/office/drawing/2014/main" id="{00000000-0008-0000-0800-00007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8" name="Text Box 81">
          <a:extLst>
            <a:ext uri="{FF2B5EF4-FFF2-40B4-BE49-F238E27FC236}">
              <a16:creationId xmlns:a16="http://schemas.microsoft.com/office/drawing/2014/main" id="{00000000-0008-0000-0800-00007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9" name="Text Box 82">
          <a:extLst>
            <a:ext uri="{FF2B5EF4-FFF2-40B4-BE49-F238E27FC236}">
              <a16:creationId xmlns:a16="http://schemas.microsoft.com/office/drawing/2014/main" id="{00000000-0008-0000-0800-00007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0" name="Text Box 83">
          <a:extLst>
            <a:ext uri="{FF2B5EF4-FFF2-40B4-BE49-F238E27FC236}">
              <a16:creationId xmlns:a16="http://schemas.microsoft.com/office/drawing/2014/main" id="{00000000-0008-0000-0800-00007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1" name="Text Box 84">
          <a:extLst>
            <a:ext uri="{FF2B5EF4-FFF2-40B4-BE49-F238E27FC236}">
              <a16:creationId xmlns:a16="http://schemas.microsoft.com/office/drawing/2014/main" id="{00000000-0008-0000-0800-00007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2" name="Text Box 85">
          <a:extLst>
            <a:ext uri="{FF2B5EF4-FFF2-40B4-BE49-F238E27FC236}">
              <a16:creationId xmlns:a16="http://schemas.microsoft.com/office/drawing/2014/main" id="{00000000-0008-0000-0800-00008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3" name="Text Box 86">
          <a:extLst>
            <a:ext uri="{FF2B5EF4-FFF2-40B4-BE49-F238E27FC236}">
              <a16:creationId xmlns:a16="http://schemas.microsoft.com/office/drawing/2014/main" id="{00000000-0008-0000-0800-00008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4" name="Text Box 87">
          <a:extLst>
            <a:ext uri="{FF2B5EF4-FFF2-40B4-BE49-F238E27FC236}">
              <a16:creationId xmlns:a16="http://schemas.microsoft.com/office/drawing/2014/main" id="{00000000-0008-0000-0800-00008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5" name="Text Box 88">
          <a:extLst>
            <a:ext uri="{FF2B5EF4-FFF2-40B4-BE49-F238E27FC236}">
              <a16:creationId xmlns:a16="http://schemas.microsoft.com/office/drawing/2014/main" id="{00000000-0008-0000-0800-00008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6" name="Text Box 89">
          <a:extLst>
            <a:ext uri="{FF2B5EF4-FFF2-40B4-BE49-F238E27FC236}">
              <a16:creationId xmlns:a16="http://schemas.microsoft.com/office/drawing/2014/main" id="{00000000-0008-0000-0800-00008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7" name="Text Box 90">
          <a:extLst>
            <a:ext uri="{FF2B5EF4-FFF2-40B4-BE49-F238E27FC236}">
              <a16:creationId xmlns:a16="http://schemas.microsoft.com/office/drawing/2014/main" id="{00000000-0008-0000-0800-00008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8" name="Text Box 91">
          <a:extLst>
            <a:ext uri="{FF2B5EF4-FFF2-40B4-BE49-F238E27FC236}">
              <a16:creationId xmlns:a16="http://schemas.microsoft.com/office/drawing/2014/main" id="{00000000-0008-0000-0800-00008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9" name="Text Box 92">
          <a:extLst>
            <a:ext uri="{FF2B5EF4-FFF2-40B4-BE49-F238E27FC236}">
              <a16:creationId xmlns:a16="http://schemas.microsoft.com/office/drawing/2014/main" id="{00000000-0008-0000-0800-00008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0" name="Text Box 93">
          <a:extLst>
            <a:ext uri="{FF2B5EF4-FFF2-40B4-BE49-F238E27FC236}">
              <a16:creationId xmlns:a16="http://schemas.microsoft.com/office/drawing/2014/main" id="{00000000-0008-0000-0800-00008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1" name="Text Box 94">
          <a:extLst>
            <a:ext uri="{FF2B5EF4-FFF2-40B4-BE49-F238E27FC236}">
              <a16:creationId xmlns:a16="http://schemas.microsoft.com/office/drawing/2014/main" id="{00000000-0008-0000-0800-00008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2" name="Text Box 95">
          <a:extLst>
            <a:ext uri="{FF2B5EF4-FFF2-40B4-BE49-F238E27FC236}">
              <a16:creationId xmlns:a16="http://schemas.microsoft.com/office/drawing/2014/main" id="{00000000-0008-0000-0800-00008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3" name="Text Box 96">
          <a:extLst>
            <a:ext uri="{FF2B5EF4-FFF2-40B4-BE49-F238E27FC236}">
              <a16:creationId xmlns:a16="http://schemas.microsoft.com/office/drawing/2014/main" id="{00000000-0008-0000-0800-00008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4" name="Text Box 97">
          <a:extLst>
            <a:ext uri="{FF2B5EF4-FFF2-40B4-BE49-F238E27FC236}">
              <a16:creationId xmlns:a16="http://schemas.microsoft.com/office/drawing/2014/main" id="{00000000-0008-0000-0800-00008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5" name="Text Box 100">
          <a:extLst>
            <a:ext uri="{FF2B5EF4-FFF2-40B4-BE49-F238E27FC236}">
              <a16:creationId xmlns:a16="http://schemas.microsoft.com/office/drawing/2014/main" id="{00000000-0008-0000-0800-00008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6" name="Text Box 101">
          <a:extLst>
            <a:ext uri="{FF2B5EF4-FFF2-40B4-BE49-F238E27FC236}">
              <a16:creationId xmlns:a16="http://schemas.microsoft.com/office/drawing/2014/main" id="{00000000-0008-0000-0800-00008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7" name="Text Box 102">
          <a:extLst>
            <a:ext uri="{FF2B5EF4-FFF2-40B4-BE49-F238E27FC236}">
              <a16:creationId xmlns:a16="http://schemas.microsoft.com/office/drawing/2014/main" id="{00000000-0008-0000-0800-00008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8" name="Text Box 103">
          <a:extLst>
            <a:ext uri="{FF2B5EF4-FFF2-40B4-BE49-F238E27FC236}">
              <a16:creationId xmlns:a16="http://schemas.microsoft.com/office/drawing/2014/main" id="{00000000-0008-0000-0800-00009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9" name="Text Box 104">
          <a:extLst>
            <a:ext uri="{FF2B5EF4-FFF2-40B4-BE49-F238E27FC236}">
              <a16:creationId xmlns:a16="http://schemas.microsoft.com/office/drawing/2014/main" id="{00000000-0008-0000-0800-00009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0" name="Text Box 105">
          <a:extLst>
            <a:ext uri="{FF2B5EF4-FFF2-40B4-BE49-F238E27FC236}">
              <a16:creationId xmlns:a16="http://schemas.microsoft.com/office/drawing/2014/main" id="{00000000-0008-0000-0800-00009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1" name="Text Box 106">
          <a:extLst>
            <a:ext uri="{FF2B5EF4-FFF2-40B4-BE49-F238E27FC236}">
              <a16:creationId xmlns:a16="http://schemas.microsoft.com/office/drawing/2014/main" id="{00000000-0008-0000-0800-00009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2" name="Text Box 107">
          <a:extLst>
            <a:ext uri="{FF2B5EF4-FFF2-40B4-BE49-F238E27FC236}">
              <a16:creationId xmlns:a16="http://schemas.microsoft.com/office/drawing/2014/main" id="{00000000-0008-0000-0800-00009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3" name="Text Box 108">
          <a:extLst>
            <a:ext uri="{FF2B5EF4-FFF2-40B4-BE49-F238E27FC236}">
              <a16:creationId xmlns:a16="http://schemas.microsoft.com/office/drawing/2014/main" id="{00000000-0008-0000-0800-00009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4" name="Text Box 109">
          <a:extLst>
            <a:ext uri="{FF2B5EF4-FFF2-40B4-BE49-F238E27FC236}">
              <a16:creationId xmlns:a16="http://schemas.microsoft.com/office/drawing/2014/main" id="{00000000-0008-0000-0800-00009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5" name="Text Box 110">
          <a:extLst>
            <a:ext uri="{FF2B5EF4-FFF2-40B4-BE49-F238E27FC236}">
              <a16:creationId xmlns:a16="http://schemas.microsoft.com/office/drawing/2014/main" id="{00000000-0008-0000-0800-00009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6" name="Text Box 111">
          <a:extLst>
            <a:ext uri="{FF2B5EF4-FFF2-40B4-BE49-F238E27FC236}">
              <a16:creationId xmlns:a16="http://schemas.microsoft.com/office/drawing/2014/main" id="{00000000-0008-0000-0800-00009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7" name="Text Box 119">
          <a:extLst>
            <a:ext uri="{FF2B5EF4-FFF2-40B4-BE49-F238E27FC236}">
              <a16:creationId xmlns:a16="http://schemas.microsoft.com/office/drawing/2014/main" id="{00000000-0008-0000-0800-00009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8" name="Text Box 120">
          <a:extLst>
            <a:ext uri="{FF2B5EF4-FFF2-40B4-BE49-F238E27FC236}">
              <a16:creationId xmlns:a16="http://schemas.microsoft.com/office/drawing/2014/main" id="{00000000-0008-0000-0800-00009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9" name="Text Box 121">
          <a:extLst>
            <a:ext uri="{FF2B5EF4-FFF2-40B4-BE49-F238E27FC236}">
              <a16:creationId xmlns:a16="http://schemas.microsoft.com/office/drawing/2014/main" id="{00000000-0008-0000-0800-00009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0" name="Text Box 122">
          <a:extLst>
            <a:ext uri="{FF2B5EF4-FFF2-40B4-BE49-F238E27FC236}">
              <a16:creationId xmlns:a16="http://schemas.microsoft.com/office/drawing/2014/main" id="{00000000-0008-0000-0800-00009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1" name="Text Box 123">
          <a:extLst>
            <a:ext uri="{FF2B5EF4-FFF2-40B4-BE49-F238E27FC236}">
              <a16:creationId xmlns:a16="http://schemas.microsoft.com/office/drawing/2014/main" id="{00000000-0008-0000-0800-00009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2" name="Text Box 124">
          <a:extLst>
            <a:ext uri="{FF2B5EF4-FFF2-40B4-BE49-F238E27FC236}">
              <a16:creationId xmlns:a16="http://schemas.microsoft.com/office/drawing/2014/main" id="{00000000-0008-0000-0800-00009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3" name="Text Box 125">
          <a:extLst>
            <a:ext uri="{FF2B5EF4-FFF2-40B4-BE49-F238E27FC236}">
              <a16:creationId xmlns:a16="http://schemas.microsoft.com/office/drawing/2014/main" id="{00000000-0008-0000-0800-00009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4" name="Text Box 126">
          <a:extLst>
            <a:ext uri="{FF2B5EF4-FFF2-40B4-BE49-F238E27FC236}">
              <a16:creationId xmlns:a16="http://schemas.microsoft.com/office/drawing/2014/main" id="{00000000-0008-0000-0800-0000A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5" name="Text Box 127">
          <a:extLst>
            <a:ext uri="{FF2B5EF4-FFF2-40B4-BE49-F238E27FC236}">
              <a16:creationId xmlns:a16="http://schemas.microsoft.com/office/drawing/2014/main" id="{00000000-0008-0000-0800-0000A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6" name="Text Box 128">
          <a:extLst>
            <a:ext uri="{FF2B5EF4-FFF2-40B4-BE49-F238E27FC236}">
              <a16:creationId xmlns:a16="http://schemas.microsoft.com/office/drawing/2014/main" id="{00000000-0008-0000-0800-0000A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7" name="Text Box 129">
          <a:extLst>
            <a:ext uri="{FF2B5EF4-FFF2-40B4-BE49-F238E27FC236}">
              <a16:creationId xmlns:a16="http://schemas.microsoft.com/office/drawing/2014/main" id="{00000000-0008-0000-0800-0000A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8" name="Text Box 130">
          <a:extLst>
            <a:ext uri="{FF2B5EF4-FFF2-40B4-BE49-F238E27FC236}">
              <a16:creationId xmlns:a16="http://schemas.microsoft.com/office/drawing/2014/main" id="{00000000-0008-0000-0800-0000A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49" name="Text Box 133">
          <a:extLst>
            <a:ext uri="{FF2B5EF4-FFF2-40B4-BE49-F238E27FC236}">
              <a16:creationId xmlns:a16="http://schemas.microsoft.com/office/drawing/2014/main" id="{00000000-0008-0000-0800-0000A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0" name="Text Box 134">
          <a:extLst>
            <a:ext uri="{FF2B5EF4-FFF2-40B4-BE49-F238E27FC236}">
              <a16:creationId xmlns:a16="http://schemas.microsoft.com/office/drawing/2014/main" id="{00000000-0008-0000-0800-0000A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1" name="Text Box 135">
          <a:extLst>
            <a:ext uri="{FF2B5EF4-FFF2-40B4-BE49-F238E27FC236}">
              <a16:creationId xmlns:a16="http://schemas.microsoft.com/office/drawing/2014/main" id="{00000000-0008-0000-0800-0000A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2" name="Text Box 136">
          <a:extLst>
            <a:ext uri="{FF2B5EF4-FFF2-40B4-BE49-F238E27FC236}">
              <a16:creationId xmlns:a16="http://schemas.microsoft.com/office/drawing/2014/main" id="{00000000-0008-0000-0800-0000A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3" name="Text Box 137">
          <a:extLst>
            <a:ext uri="{FF2B5EF4-FFF2-40B4-BE49-F238E27FC236}">
              <a16:creationId xmlns:a16="http://schemas.microsoft.com/office/drawing/2014/main" id="{00000000-0008-0000-0800-0000A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4" name="Text Box 138">
          <a:extLst>
            <a:ext uri="{FF2B5EF4-FFF2-40B4-BE49-F238E27FC236}">
              <a16:creationId xmlns:a16="http://schemas.microsoft.com/office/drawing/2014/main" id="{00000000-0008-0000-0800-0000A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5" name="Text Box 139">
          <a:extLst>
            <a:ext uri="{FF2B5EF4-FFF2-40B4-BE49-F238E27FC236}">
              <a16:creationId xmlns:a16="http://schemas.microsoft.com/office/drawing/2014/main" id="{00000000-0008-0000-0800-0000A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6" name="Text Box 140">
          <a:extLst>
            <a:ext uri="{FF2B5EF4-FFF2-40B4-BE49-F238E27FC236}">
              <a16:creationId xmlns:a16="http://schemas.microsoft.com/office/drawing/2014/main" id="{00000000-0008-0000-0800-0000A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7" name="Text Box 141">
          <a:extLst>
            <a:ext uri="{FF2B5EF4-FFF2-40B4-BE49-F238E27FC236}">
              <a16:creationId xmlns:a16="http://schemas.microsoft.com/office/drawing/2014/main" id="{00000000-0008-0000-0800-0000A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8" name="Text Box 142">
          <a:extLst>
            <a:ext uri="{FF2B5EF4-FFF2-40B4-BE49-F238E27FC236}">
              <a16:creationId xmlns:a16="http://schemas.microsoft.com/office/drawing/2014/main" id="{00000000-0008-0000-0800-0000A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9" name="Text Box 143">
          <a:extLst>
            <a:ext uri="{FF2B5EF4-FFF2-40B4-BE49-F238E27FC236}">
              <a16:creationId xmlns:a16="http://schemas.microsoft.com/office/drawing/2014/main" id="{00000000-0008-0000-0800-0000A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0" name="Text Box 144">
          <a:extLst>
            <a:ext uri="{FF2B5EF4-FFF2-40B4-BE49-F238E27FC236}">
              <a16:creationId xmlns:a16="http://schemas.microsoft.com/office/drawing/2014/main" id="{00000000-0008-0000-0800-0000B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1" name="Text Box 145">
          <a:extLst>
            <a:ext uri="{FF2B5EF4-FFF2-40B4-BE49-F238E27FC236}">
              <a16:creationId xmlns:a16="http://schemas.microsoft.com/office/drawing/2014/main" id="{00000000-0008-0000-0800-0000B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2" name="Text Box 146">
          <a:extLst>
            <a:ext uri="{FF2B5EF4-FFF2-40B4-BE49-F238E27FC236}">
              <a16:creationId xmlns:a16="http://schemas.microsoft.com/office/drawing/2014/main" id="{00000000-0008-0000-0800-0000B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3" name="Text Box 147">
          <a:extLst>
            <a:ext uri="{FF2B5EF4-FFF2-40B4-BE49-F238E27FC236}">
              <a16:creationId xmlns:a16="http://schemas.microsoft.com/office/drawing/2014/main" id="{00000000-0008-0000-0800-0000B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4" name="Text Box 148">
          <a:extLst>
            <a:ext uri="{FF2B5EF4-FFF2-40B4-BE49-F238E27FC236}">
              <a16:creationId xmlns:a16="http://schemas.microsoft.com/office/drawing/2014/main" id="{00000000-0008-0000-0800-0000B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5" name="Text Box 149">
          <a:extLst>
            <a:ext uri="{FF2B5EF4-FFF2-40B4-BE49-F238E27FC236}">
              <a16:creationId xmlns:a16="http://schemas.microsoft.com/office/drawing/2014/main" id="{00000000-0008-0000-0800-0000B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6" name="Text Box 150">
          <a:extLst>
            <a:ext uri="{FF2B5EF4-FFF2-40B4-BE49-F238E27FC236}">
              <a16:creationId xmlns:a16="http://schemas.microsoft.com/office/drawing/2014/main" id="{00000000-0008-0000-0800-0000B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7" name="Text Box 151">
          <a:extLst>
            <a:ext uri="{FF2B5EF4-FFF2-40B4-BE49-F238E27FC236}">
              <a16:creationId xmlns:a16="http://schemas.microsoft.com/office/drawing/2014/main" id="{00000000-0008-0000-0800-0000B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8" name="Text Box 152">
          <a:extLst>
            <a:ext uri="{FF2B5EF4-FFF2-40B4-BE49-F238E27FC236}">
              <a16:creationId xmlns:a16="http://schemas.microsoft.com/office/drawing/2014/main" id="{00000000-0008-0000-0800-0000B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9" name="Text Box 153">
          <a:extLst>
            <a:ext uri="{FF2B5EF4-FFF2-40B4-BE49-F238E27FC236}">
              <a16:creationId xmlns:a16="http://schemas.microsoft.com/office/drawing/2014/main" id="{00000000-0008-0000-0800-0000B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0" name="Text Box 154">
          <a:extLst>
            <a:ext uri="{FF2B5EF4-FFF2-40B4-BE49-F238E27FC236}">
              <a16:creationId xmlns:a16="http://schemas.microsoft.com/office/drawing/2014/main" id="{00000000-0008-0000-0800-0000B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1" name="Text Box 155">
          <a:extLst>
            <a:ext uri="{FF2B5EF4-FFF2-40B4-BE49-F238E27FC236}">
              <a16:creationId xmlns:a16="http://schemas.microsoft.com/office/drawing/2014/main" id="{00000000-0008-0000-0800-0000B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2" name="Text Box 156">
          <a:extLst>
            <a:ext uri="{FF2B5EF4-FFF2-40B4-BE49-F238E27FC236}">
              <a16:creationId xmlns:a16="http://schemas.microsoft.com/office/drawing/2014/main" id="{00000000-0008-0000-0800-0000B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3" name="Text Box 157">
          <a:extLst>
            <a:ext uri="{FF2B5EF4-FFF2-40B4-BE49-F238E27FC236}">
              <a16:creationId xmlns:a16="http://schemas.microsoft.com/office/drawing/2014/main" id="{00000000-0008-0000-0800-0000B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4" name="Text Box 158">
          <a:extLst>
            <a:ext uri="{FF2B5EF4-FFF2-40B4-BE49-F238E27FC236}">
              <a16:creationId xmlns:a16="http://schemas.microsoft.com/office/drawing/2014/main" id="{00000000-0008-0000-0800-0000B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5" name="Text Box 159">
          <a:extLst>
            <a:ext uri="{FF2B5EF4-FFF2-40B4-BE49-F238E27FC236}">
              <a16:creationId xmlns:a16="http://schemas.microsoft.com/office/drawing/2014/main" id="{00000000-0008-0000-0800-0000B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6" name="Text Box 160">
          <a:extLst>
            <a:ext uri="{FF2B5EF4-FFF2-40B4-BE49-F238E27FC236}">
              <a16:creationId xmlns:a16="http://schemas.microsoft.com/office/drawing/2014/main" id="{00000000-0008-0000-0800-0000C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7" name="Text Box 161">
          <a:extLst>
            <a:ext uri="{FF2B5EF4-FFF2-40B4-BE49-F238E27FC236}">
              <a16:creationId xmlns:a16="http://schemas.microsoft.com/office/drawing/2014/main" id="{00000000-0008-0000-0800-0000C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8" name="Text Box 162">
          <a:extLst>
            <a:ext uri="{FF2B5EF4-FFF2-40B4-BE49-F238E27FC236}">
              <a16:creationId xmlns:a16="http://schemas.microsoft.com/office/drawing/2014/main" id="{00000000-0008-0000-0800-0000C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9" name="Text Box 163">
          <a:extLst>
            <a:ext uri="{FF2B5EF4-FFF2-40B4-BE49-F238E27FC236}">
              <a16:creationId xmlns:a16="http://schemas.microsoft.com/office/drawing/2014/main" id="{00000000-0008-0000-0800-0000C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0" name="Text Box 164">
          <a:extLst>
            <a:ext uri="{FF2B5EF4-FFF2-40B4-BE49-F238E27FC236}">
              <a16:creationId xmlns:a16="http://schemas.microsoft.com/office/drawing/2014/main" id="{00000000-0008-0000-0800-0000C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1" name="Text Box 165">
          <a:extLst>
            <a:ext uri="{FF2B5EF4-FFF2-40B4-BE49-F238E27FC236}">
              <a16:creationId xmlns:a16="http://schemas.microsoft.com/office/drawing/2014/main" id="{00000000-0008-0000-0800-0000C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2" name="Text Box 166">
          <a:extLst>
            <a:ext uri="{FF2B5EF4-FFF2-40B4-BE49-F238E27FC236}">
              <a16:creationId xmlns:a16="http://schemas.microsoft.com/office/drawing/2014/main" id="{00000000-0008-0000-0800-0000C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3" name="Text Box 167">
          <a:extLst>
            <a:ext uri="{FF2B5EF4-FFF2-40B4-BE49-F238E27FC236}">
              <a16:creationId xmlns:a16="http://schemas.microsoft.com/office/drawing/2014/main" id="{00000000-0008-0000-0800-0000C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4" name="Text Box 168">
          <a:extLst>
            <a:ext uri="{FF2B5EF4-FFF2-40B4-BE49-F238E27FC236}">
              <a16:creationId xmlns:a16="http://schemas.microsoft.com/office/drawing/2014/main" id="{00000000-0008-0000-0800-0000C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5" name="Text Box 169">
          <a:extLst>
            <a:ext uri="{FF2B5EF4-FFF2-40B4-BE49-F238E27FC236}">
              <a16:creationId xmlns:a16="http://schemas.microsoft.com/office/drawing/2014/main" id="{00000000-0008-0000-0800-0000C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6" name="Text Box 170">
          <a:extLst>
            <a:ext uri="{FF2B5EF4-FFF2-40B4-BE49-F238E27FC236}">
              <a16:creationId xmlns:a16="http://schemas.microsoft.com/office/drawing/2014/main" id="{00000000-0008-0000-0800-0000C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7" name="Text Box 171">
          <a:extLst>
            <a:ext uri="{FF2B5EF4-FFF2-40B4-BE49-F238E27FC236}">
              <a16:creationId xmlns:a16="http://schemas.microsoft.com/office/drawing/2014/main" id="{00000000-0008-0000-0800-0000C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8" name="Text Box 172">
          <a:extLst>
            <a:ext uri="{FF2B5EF4-FFF2-40B4-BE49-F238E27FC236}">
              <a16:creationId xmlns:a16="http://schemas.microsoft.com/office/drawing/2014/main" id="{00000000-0008-0000-0800-0000C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9" name="Text Box 173">
          <a:extLst>
            <a:ext uri="{FF2B5EF4-FFF2-40B4-BE49-F238E27FC236}">
              <a16:creationId xmlns:a16="http://schemas.microsoft.com/office/drawing/2014/main" id="{00000000-0008-0000-0800-0000C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0" name="Text Box 174">
          <a:extLst>
            <a:ext uri="{FF2B5EF4-FFF2-40B4-BE49-F238E27FC236}">
              <a16:creationId xmlns:a16="http://schemas.microsoft.com/office/drawing/2014/main" id="{00000000-0008-0000-0800-0000C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1" name="Text Box 175">
          <a:extLst>
            <a:ext uri="{FF2B5EF4-FFF2-40B4-BE49-F238E27FC236}">
              <a16:creationId xmlns:a16="http://schemas.microsoft.com/office/drawing/2014/main" id="{00000000-0008-0000-0800-0000C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2" name="Text Box 176">
          <a:extLst>
            <a:ext uri="{FF2B5EF4-FFF2-40B4-BE49-F238E27FC236}">
              <a16:creationId xmlns:a16="http://schemas.microsoft.com/office/drawing/2014/main" id="{00000000-0008-0000-0800-0000D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3" name="Text Box 177">
          <a:extLst>
            <a:ext uri="{FF2B5EF4-FFF2-40B4-BE49-F238E27FC236}">
              <a16:creationId xmlns:a16="http://schemas.microsoft.com/office/drawing/2014/main" id="{00000000-0008-0000-0800-0000D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4" name="Text Box 178">
          <a:extLst>
            <a:ext uri="{FF2B5EF4-FFF2-40B4-BE49-F238E27FC236}">
              <a16:creationId xmlns:a16="http://schemas.microsoft.com/office/drawing/2014/main" id="{00000000-0008-0000-0800-0000D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5" name="Text Box 179">
          <a:extLst>
            <a:ext uri="{FF2B5EF4-FFF2-40B4-BE49-F238E27FC236}">
              <a16:creationId xmlns:a16="http://schemas.microsoft.com/office/drawing/2014/main" id="{00000000-0008-0000-0800-0000D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6" name="Text Box 180">
          <a:extLst>
            <a:ext uri="{FF2B5EF4-FFF2-40B4-BE49-F238E27FC236}">
              <a16:creationId xmlns:a16="http://schemas.microsoft.com/office/drawing/2014/main" id="{00000000-0008-0000-0800-0000D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7" name="Text Box 181">
          <a:extLst>
            <a:ext uri="{FF2B5EF4-FFF2-40B4-BE49-F238E27FC236}">
              <a16:creationId xmlns:a16="http://schemas.microsoft.com/office/drawing/2014/main" id="{00000000-0008-0000-0800-0000D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8" name="Text Box 182">
          <a:extLst>
            <a:ext uri="{FF2B5EF4-FFF2-40B4-BE49-F238E27FC236}">
              <a16:creationId xmlns:a16="http://schemas.microsoft.com/office/drawing/2014/main" id="{00000000-0008-0000-0800-0000D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9" name="Text Box 183">
          <a:extLst>
            <a:ext uri="{FF2B5EF4-FFF2-40B4-BE49-F238E27FC236}">
              <a16:creationId xmlns:a16="http://schemas.microsoft.com/office/drawing/2014/main" id="{00000000-0008-0000-0800-0000D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0" name="Text Box 184">
          <a:extLst>
            <a:ext uri="{FF2B5EF4-FFF2-40B4-BE49-F238E27FC236}">
              <a16:creationId xmlns:a16="http://schemas.microsoft.com/office/drawing/2014/main" id="{00000000-0008-0000-0800-0000D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1" name="Text Box 185">
          <a:extLst>
            <a:ext uri="{FF2B5EF4-FFF2-40B4-BE49-F238E27FC236}">
              <a16:creationId xmlns:a16="http://schemas.microsoft.com/office/drawing/2014/main" id="{00000000-0008-0000-0800-0000D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2" name="Text Box 186">
          <a:extLst>
            <a:ext uri="{FF2B5EF4-FFF2-40B4-BE49-F238E27FC236}">
              <a16:creationId xmlns:a16="http://schemas.microsoft.com/office/drawing/2014/main" id="{00000000-0008-0000-0800-0000D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3" name="Text Box 187">
          <a:extLst>
            <a:ext uri="{FF2B5EF4-FFF2-40B4-BE49-F238E27FC236}">
              <a16:creationId xmlns:a16="http://schemas.microsoft.com/office/drawing/2014/main" id="{00000000-0008-0000-0800-0000D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4" name="Text Box 188">
          <a:extLst>
            <a:ext uri="{FF2B5EF4-FFF2-40B4-BE49-F238E27FC236}">
              <a16:creationId xmlns:a16="http://schemas.microsoft.com/office/drawing/2014/main" id="{00000000-0008-0000-0800-0000D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5" name="Text Box 189">
          <a:extLst>
            <a:ext uri="{FF2B5EF4-FFF2-40B4-BE49-F238E27FC236}">
              <a16:creationId xmlns:a16="http://schemas.microsoft.com/office/drawing/2014/main" id="{00000000-0008-0000-0800-0000D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6" name="Text Box 190">
          <a:extLst>
            <a:ext uri="{FF2B5EF4-FFF2-40B4-BE49-F238E27FC236}">
              <a16:creationId xmlns:a16="http://schemas.microsoft.com/office/drawing/2014/main" id="{00000000-0008-0000-0800-0000D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7" name="Text Box 191">
          <a:extLst>
            <a:ext uri="{FF2B5EF4-FFF2-40B4-BE49-F238E27FC236}">
              <a16:creationId xmlns:a16="http://schemas.microsoft.com/office/drawing/2014/main" id="{00000000-0008-0000-0800-0000D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8" name="Text Box 192">
          <a:extLst>
            <a:ext uri="{FF2B5EF4-FFF2-40B4-BE49-F238E27FC236}">
              <a16:creationId xmlns:a16="http://schemas.microsoft.com/office/drawing/2014/main" id="{00000000-0008-0000-0800-0000E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9" name="Text Box 193">
          <a:extLst>
            <a:ext uri="{FF2B5EF4-FFF2-40B4-BE49-F238E27FC236}">
              <a16:creationId xmlns:a16="http://schemas.microsoft.com/office/drawing/2014/main" id="{00000000-0008-0000-0800-0000E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0" name="Text Box 194">
          <a:extLst>
            <a:ext uri="{FF2B5EF4-FFF2-40B4-BE49-F238E27FC236}">
              <a16:creationId xmlns:a16="http://schemas.microsoft.com/office/drawing/2014/main" id="{00000000-0008-0000-0800-0000E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1" name="Text Box 195">
          <a:extLst>
            <a:ext uri="{FF2B5EF4-FFF2-40B4-BE49-F238E27FC236}">
              <a16:creationId xmlns:a16="http://schemas.microsoft.com/office/drawing/2014/main" id="{00000000-0008-0000-0800-0000E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2" name="Text Box 196">
          <a:extLst>
            <a:ext uri="{FF2B5EF4-FFF2-40B4-BE49-F238E27FC236}">
              <a16:creationId xmlns:a16="http://schemas.microsoft.com/office/drawing/2014/main" id="{00000000-0008-0000-0800-0000E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3" name="Text Box 197">
          <a:extLst>
            <a:ext uri="{FF2B5EF4-FFF2-40B4-BE49-F238E27FC236}">
              <a16:creationId xmlns:a16="http://schemas.microsoft.com/office/drawing/2014/main" id="{00000000-0008-0000-0800-0000E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4" name="Text Box 198">
          <a:extLst>
            <a:ext uri="{FF2B5EF4-FFF2-40B4-BE49-F238E27FC236}">
              <a16:creationId xmlns:a16="http://schemas.microsoft.com/office/drawing/2014/main" id="{00000000-0008-0000-0800-0000E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5" name="Text Box 199">
          <a:extLst>
            <a:ext uri="{FF2B5EF4-FFF2-40B4-BE49-F238E27FC236}">
              <a16:creationId xmlns:a16="http://schemas.microsoft.com/office/drawing/2014/main" id="{00000000-0008-0000-0800-0000E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6" name="Text Box 200">
          <a:extLst>
            <a:ext uri="{FF2B5EF4-FFF2-40B4-BE49-F238E27FC236}">
              <a16:creationId xmlns:a16="http://schemas.microsoft.com/office/drawing/2014/main" id="{00000000-0008-0000-0800-0000E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7" name="Text Box 201">
          <a:extLst>
            <a:ext uri="{FF2B5EF4-FFF2-40B4-BE49-F238E27FC236}">
              <a16:creationId xmlns:a16="http://schemas.microsoft.com/office/drawing/2014/main" id="{00000000-0008-0000-0800-0000E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8" name="Text Box 202">
          <a:extLst>
            <a:ext uri="{FF2B5EF4-FFF2-40B4-BE49-F238E27FC236}">
              <a16:creationId xmlns:a16="http://schemas.microsoft.com/office/drawing/2014/main" id="{00000000-0008-0000-0800-0000E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19" name="Text Box 203">
          <a:extLst>
            <a:ext uri="{FF2B5EF4-FFF2-40B4-BE49-F238E27FC236}">
              <a16:creationId xmlns:a16="http://schemas.microsoft.com/office/drawing/2014/main" id="{00000000-0008-0000-0800-0000E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0" name="Text Box 204">
          <a:extLst>
            <a:ext uri="{FF2B5EF4-FFF2-40B4-BE49-F238E27FC236}">
              <a16:creationId xmlns:a16="http://schemas.microsoft.com/office/drawing/2014/main" id="{00000000-0008-0000-0800-0000E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1" name="Text Box 205">
          <a:extLst>
            <a:ext uri="{FF2B5EF4-FFF2-40B4-BE49-F238E27FC236}">
              <a16:creationId xmlns:a16="http://schemas.microsoft.com/office/drawing/2014/main" id="{00000000-0008-0000-0800-0000E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2" name="Text Box 206">
          <a:extLst>
            <a:ext uri="{FF2B5EF4-FFF2-40B4-BE49-F238E27FC236}">
              <a16:creationId xmlns:a16="http://schemas.microsoft.com/office/drawing/2014/main" id="{00000000-0008-0000-0800-0000E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3" name="Text Box 207">
          <a:extLst>
            <a:ext uri="{FF2B5EF4-FFF2-40B4-BE49-F238E27FC236}">
              <a16:creationId xmlns:a16="http://schemas.microsoft.com/office/drawing/2014/main" id="{00000000-0008-0000-0800-0000E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4" name="Text Box 208">
          <a:extLst>
            <a:ext uri="{FF2B5EF4-FFF2-40B4-BE49-F238E27FC236}">
              <a16:creationId xmlns:a16="http://schemas.microsoft.com/office/drawing/2014/main" id="{00000000-0008-0000-0800-0000F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5" name="Text Box 209">
          <a:extLst>
            <a:ext uri="{FF2B5EF4-FFF2-40B4-BE49-F238E27FC236}">
              <a16:creationId xmlns:a16="http://schemas.microsoft.com/office/drawing/2014/main" id="{00000000-0008-0000-0800-0000F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6" name="Text Box 210">
          <a:extLst>
            <a:ext uri="{FF2B5EF4-FFF2-40B4-BE49-F238E27FC236}">
              <a16:creationId xmlns:a16="http://schemas.microsoft.com/office/drawing/2014/main" id="{00000000-0008-0000-0800-0000F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7" name="Text Box 211">
          <a:extLst>
            <a:ext uri="{FF2B5EF4-FFF2-40B4-BE49-F238E27FC236}">
              <a16:creationId xmlns:a16="http://schemas.microsoft.com/office/drawing/2014/main" id="{00000000-0008-0000-0800-0000F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8" name="Text Box 212">
          <a:extLst>
            <a:ext uri="{FF2B5EF4-FFF2-40B4-BE49-F238E27FC236}">
              <a16:creationId xmlns:a16="http://schemas.microsoft.com/office/drawing/2014/main" id="{00000000-0008-0000-0800-0000F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9" name="Text Box 213">
          <a:extLst>
            <a:ext uri="{FF2B5EF4-FFF2-40B4-BE49-F238E27FC236}">
              <a16:creationId xmlns:a16="http://schemas.microsoft.com/office/drawing/2014/main" id="{00000000-0008-0000-0800-0000F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0" name="Text Box 214">
          <a:extLst>
            <a:ext uri="{FF2B5EF4-FFF2-40B4-BE49-F238E27FC236}">
              <a16:creationId xmlns:a16="http://schemas.microsoft.com/office/drawing/2014/main" id="{00000000-0008-0000-0800-0000F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1" name="Text Box 215">
          <a:extLst>
            <a:ext uri="{FF2B5EF4-FFF2-40B4-BE49-F238E27FC236}">
              <a16:creationId xmlns:a16="http://schemas.microsoft.com/office/drawing/2014/main" id="{00000000-0008-0000-0800-0000F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2" name="Text Box 216">
          <a:extLst>
            <a:ext uri="{FF2B5EF4-FFF2-40B4-BE49-F238E27FC236}">
              <a16:creationId xmlns:a16="http://schemas.microsoft.com/office/drawing/2014/main" id="{00000000-0008-0000-0800-0000F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3" name="Text Box 217">
          <a:extLst>
            <a:ext uri="{FF2B5EF4-FFF2-40B4-BE49-F238E27FC236}">
              <a16:creationId xmlns:a16="http://schemas.microsoft.com/office/drawing/2014/main" id="{00000000-0008-0000-0800-0000F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4" name="Text Box 218">
          <a:extLst>
            <a:ext uri="{FF2B5EF4-FFF2-40B4-BE49-F238E27FC236}">
              <a16:creationId xmlns:a16="http://schemas.microsoft.com/office/drawing/2014/main" id="{00000000-0008-0000-0800-0000F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5" name="Text Box 219">
          <a:extLst>
            <a:ext uri="{FF2B5EF4-FFF2-40B4-BE49-F238E27FC236}">
              <a16:creationId xmlns:a16="http://schemas.microsoft.com/office/drawing/2014/main" id="{00000000-0008-0000-0800-0000F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6" name="Text Box 220">
          <a:extLst>
            <a:ext uri="{FF2B5EF4-FFF2-40B4-BE49-F238E27FC236}">
              <a16:creationId xmlns:a16="http://schemas.microsoft.com/office/drawing/2014/main" id="{00000000-0008-0000-0800-0000F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7" name="Text Box 221">
          <a:extLst>
            <a:ext uri="{FF2B5EF4-FFF2-40B4-BE49-F238E27FC236}">
              <a16:creationId xmlns:a16="http://schemas.microsoft.com/office/drawing/2014/main" id="{00000000-0008-0000-0800-0000F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8" name="Text Box 222">
          <a:extLst>
            <a:ext uri="{FF2B5EF4-FFF2-40B4-BE49-F238E27FC236}">
              <a16:creationId xmlns:a16="http://schemas.microsoft.com/office/drawing/2014/main" id="{00000000-0008-0000-0800-0000F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9" name="Text Box 223">
          <a:extLst>
            <a:ext uri="{FF2B5EF4-FFF2-40B4-BE49-F238E27FC236}">
              <a16:creationId xmlns:a16="http://schemas.microsoft.com/office/drawing/2014/main" id="{00000000-0008-0000-0800-0000F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0" name="Text Box 224">
          <a:extLst>
            <a:ext uri="{FF2B5EF4-FFF2-40B4-BE49-F238E27FC236}">
              <a16:creationId xmlns:a16="http://schemas.microsoft.com/office/drawing/2014/main" id="{00000000-0008-0000-0800-00000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1" name="Text Box 225">
          <a:extLst>
            <a:ext uri="{FF2B5EF4-FFF2-40B4-BE49-F238E27FC236}">
              <a16:creationId xmlns:a16="http://schemas.microsoft.com/office/drawing/2014/main" id="{00000000-0008-0000-0800-00000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2" name="Text Box 226">
          <a:extLst>
            <a:ext uri="{FF2B5EF4-FFF2-40B4-BE49-F238E27FC236}">
              <a16:creationId xmlns:a16="http://schemas.microsoft.com/office/drawing/2014/main" id="{00000000-0008-0000-0800-00000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3" name="Text Box 227">
          <a:extLst>
            <a:ext uri="{FF2B5EF4-FFF2-40B4-BE49-F238E27FC236}">
              <a16:creationId xmlns:a16="http://schemas.microsoft.com/office/drawing/2014/main" id="{00000000-0008-0000-0800-00000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4" name="Text Box 228">
          <a:extLst>
            <a:ext uri="{FF2B5EF4-FFF2-40B4-BE49-F238E27FC236}">
              <a16:creationId xmlns:a16="http://schemas.microsoft.com/office/drawing/2014/main" id="{00000000-0008-0000-0800-00000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5" name="Text Box 229">
          <a:extLst>
            <a:ext uri="{FF2B5EF4-FFF2-40B4-BE49-F238E27FC236}">
              <a16:creationId xmlns:a16="http://schemas.microsoft.com/office/drawing/2014/main" id="{00000000-0008-0000-0800-00000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6" name="Text Box 230">
          <a:extLst>
            <a:ext uri="{FF2B5EF4-FFF2-40B4-BE49-F238E27FC236}">
              <a16:creationId xmlns:a16="http://schemas.microsoft.com/office/drawing/2014/main" id="{00000000-0008-0000-0800-00000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7" name="Text Box 231">
          <a:extLst>
            <a:ext uri="{FF2B5EF4-FFF2-40B4-BE49-F238E27FC236}">
              <a16:creationId xmlns:a16="http://schemas.microsoft.com/office/drawing/2014/main" id="{00000000-0008-0000-0800-00000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8" name="Text Box 232">
          <a:extLst>
            <a:ext uri="{FF2B5EF4-FFF2-40B4-BE49-F238E27FC236}">
              <a16:creationId xmlns:a16="http://schemas.microsoft.com/office/drawing/2014/main" id="{00000000-0008-0000-0800-00000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9" name="Text Box 233">
          <a:extLst>
            <a:ext uri="{FF2B5EF4-FFF2-40B4-BE49-F238E27FC236}">
              <a16:creationId xmlns:a16="http://schemas.microsoft.com/office/drawing/2014/main" id="{00000000-0008-0000-0800-00000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0" name="Text Box 234">
          <a:extLst>
            <a:ext uri="{FF2B5EF4-FFF2-40B4-BE49-F238E27FC236}">
              <a16:creationId xmlns:a16="http://schemas.microsoft.com/office/drawing/2014/main" id="{00000000-0008-0000-0800-00000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1" name="Text Box 235">
          <a:extLst>
            <a:ext uri="{FF2B5EF4-FFF2-40B4-BE49-F238E27FC236}">
              <a16:creationId xmlns:a16="http://schemas.microsoft.com/office/drawing/2014/main" id="{00000000-0008-0000-0800-00000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2" name="Text Box 236">
          <a:extLst>
            <a:ext uri="{FF2B5EF4-FFF2-40B4-BE49-F238E27FC236}">
              <a16:creationId xmlns:a16="http://schemas.microsoft.com/office/drawing/2014/main" id="{00000000-0008-0000-0800-00000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3" name="Text Box 237">
          <a:extLst>
            <a:ext uri="{FF2B5EF4-FFF2-40B4-BE49-F238E27FC236}">
              <a16:creationId xmlns:a16="http://schemas.microsoft.com/office/drawing/2014/main" id="{00000000-0008-0000-0800-00000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4" name="Text Box 238">
          <a:extLst>
            <a:ext uri="{FF2B5EF4-FFF2-40B4-BE49-F238E27FC236}">
              <a16:creationId xmlns:a16="http://schemas.microsoft.com/office/drawing/2014/main" id="{00000000-0008-0000-0800-00000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5" name="Text Box 239">
          <a:extLst>
            <a:ext uri="{FF2B5EF4-FFF2-40B4-BE49-F238E27FC236}">
              <a16:creationId xmlns:a16="http://schemas.microsoft.com/office/drawing/2014/main" id="{00000000-0008-0000-0800-00000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6" name="Text Box 240">
          <a:extLst>
            <a:ext uri="{FF2B5EF4-FFF2-40B4-BE49-F238E27FC236}">
              <a16:creationId xmlns:a16="http://schemas.microsoft.com/office/drawing/2014/main" id="{00000000-0008-0000-0800-00001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7" name="Text Box 241">
          <a:extLst>
            <a:ext uri="{FF2B5EF4-FFF2-40B4-BE49-F238E27FC236}">
              <a16:creationId xmlns:a16="http://schemas.microsoft.com/office/drawing/2014/main" id="{00000000-0008-0000-0800-00001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8" name="Text Box 242">
          <a:extLst>
            <a:ext uri="{FF2B5EF4-FFF2-40B4-BE49-F238E27FC236}">
              <a16:creationId xmlns:a16="http://schemas.microsoft.com/office/drawing/2014/main" id="{00000000-0008-0000-0800-00001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9" name="Text Box 243">
          <a:extLst>
            <a:ext uri="{FF2B5EF4-FFF2-40B4-BE49-F238E27FC236}">
              <a16:creationId xmlns:a16="http://schemas.microsoft.com/office/drawing/2014/main" id="{00000000-0008-0000-0800-00001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0" name="Text Box 244">
          <a:extLst>
            <a:ext uri="{FF2B5EF4-FFF2-40B4-BE49-F238E27FC236}">
              <a16:creationId xmlns:a16="http://schemas.microsoft.com/office/drawing/2014/main" id="{00000000-0008-0000-0800-00001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1" name="Text Box 245">
          <a:extLst>
            <a:ext uri="{FF2B5EF4-FFF2-40B4-BE49-F238E27FC236}">
              <a16:creationId xmlns:a16="http://schemas.microsoft.com/office/drawing/2014/main" id="{00000000-0008-0000-0800-00001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2" name="Text Box 246">
          <a:extLst>
            <a:ext uri="{FF2B5EF4-FFF2-40B4-BE49-F238E27FC236}">
              <a16:creationId xmlns:a16="http://schemas.microsoft.com/office/drawing/2014/main" id="{00000000-0008-0000-0800-00001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3" name="Text Box 247">
          <a:extLst>
            <a:ext uri="{FF2B5EF4-FFF2-40B4-BE49-F238E27FC236}">
              <a16:creationId xmlns:a16="http://schemas.microsoft.com/office/drawing/2014/main" id="{00000000-0008-0000-0800-00001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4" name="Text Box 248">
          <a:extLst>
            <a:ext uri="{FF2B5EF4-FFF2-40B4-BE49-F238E27FC236}">
              <a16:creationId xmlns:a16="http://schemas.microsoft.com/office/drawing/2014/main" id="{00000000-0008-0000-0800-00001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5" name="Text Box 249">
          <a:extLst>
            <a:ext uri="{FF2B5EF4-FFF2-40B4-BE49-F238E27FC236}">
              <a16:creationId xmlns:a16="http://schemas.microsoft.com/office/drawing/2014/main" id="{00000000-0008-0000-0800-00001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6" name="Text Box 250">
          <a:extLst>
            <a:ext uri="{FF2B5EF4-FFF2-40B4-BE49-F238E27FC236}">
              <a16:creationId xmlns:a16="http://schemas.microsoft.com/office/drawing/2014/main" id="{00000000-0008-0000-0800-00001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7" name="Text Box 251">
          <a:extLst>
            <a:ext uri="{FF2B5EF4-FFF2-40B4-BE49-F238E27FC236}">
              <a16:creationId xmlns:a16="http://schemas.microsoft.com/office/drawing/2014/main" id="{00000000-0008-0000-0800-00001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8" name="Text Box 252">
          <a:extLst>
            <a:ext uri="{FF2B5EF4-FFF2-40B4-BE49-F238E27FC236}">
              <a16:creationId xmlns:a16="http://schemas.microsoft.com/office/drawing/2014/main" id="{00000000-0008-0000-0800-00001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9" name="Text Box 253">
          <a:extLst>
            <a:ext uri="{FF2B5EF4-FFF2-40B4-BE49-F238E27FC236}">
              <a16:creationId xmlns:a16="http://schemas.microsoft.com/office/drawing/2014/main" id="{00000000-0008-0000-0800-00001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0" name="Text Box 254">
          <a:extLst>
            <a:ext uri="{FF2B5EF4-FFF2-40B4-BE49-F238E27FC236}">
              <a16:creationId xmlns:a16="http://schemas.microsoft.com/office/drawing/2014/main" id="{00000000-0008-0000-0800-00001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1" name="Text Box 255">
          <a:extLst>
            <a:ext uri="{FF2B5EF4-FFF2-40B4-BE49-F238E27FC236}">
              <a16:creationId xmlns:a16="http://schemas.microsoft.com/office/drawing/2014/main" id="{00000000-0008-0000-0800-00001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2" name="Text Box 256">
          <a:extLst>
            <a:ext uri="{FF2B5EF4-FFF2-40B4-BE49-F238E27FC236}">
              <a16:creationId xmlns:a16="http://schemas.microsoft.com/office/drawing/2014/main" id="{00000000-0008-0000-0800-00002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3" name="Text Box 257">
          <a:extLst>
            <a:ext uri="{FF2B5EF4-FFF2-40B4-BE49-F238E27FC236}">
              <a16:creationId xmlns:a16="http://schemas.microsoft.com/office/drawing/2014/main" id="{00000000-0008-0000-0800-00002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4" name="Text Box 258">
          <a:extLst>
            <a:ext uri="{FF2B5EF4-FFF2-40B4-BE49-F238E27FC236}">
              <a16:creationId xmlns:a16="http://schemas.microsoft.com/office/drawing/2014/main" id="{00000000-0008-0000-0800-00002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5" name="Text Box 259">
          <a:extLst>
            <a:ext uri="{FF2B5EF4-FFF2-40B4-BE49-F238E27FC236}">
              <a16:creationId xmlns:a16="http://schemas.microsoft.com/office/drawing/2014/main" id="{00000000-0008-0000-0800-00002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6" name="Text Box 260">
          <a:extLst>
            <a:ext uri="{FF2B5EF4-FFF2-40B4-BE49-F238E27FC236}">
              <a16:creationId xmlns:a16="http://schemas.microsoft.com/office/drawing/2014/main" id="{00000000-0008-0000-0800-00002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7" name="Text Box 261">
          <a:extLst>
            <a:ext uri="{FF2B5EF4-FFF2-40B4-BE49-F238E27FC236}">
              <a16:creationId xmlns:a16="http://schemas.microsoft.com/office/drawing/2014/main" id="{00000000-0008-0000-0800-00002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8" name="Text Box 262">
          <a:extLst>
            <a:ext uri="{FF2B5EF4-FFF2-40B4-BE49-F238E27FC236}">
              <a16:creationId xmlns:a16="http://schemas.microsoft.com/office/drawing/2014/main" id="{00000000-0008-0000-0800-00002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9" name="Text Box 263">
          <a:extLst>
            <a:ext uri="{FF2B5EF4-FFF2-40B4-BE49-F238E27FC236}">
              <a16:creationId xmlns:a16="http://schemas.microsoft.com/office/drawing/2014/main" id="{00000000-0008-0000-0800-00002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0" name="Text Box 264">
          <a:extLst>
            <a:ext uri="{FF2B5EF4-FFF2-40B4-BE49-F238E27FC236}">
              <a16:creationId xmlns:a16="http://schemas.microsoft.com/office/drawing/2014/main" id="{00000000-0008-0000-0800-00002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1" name="Text Box 265">
          <a:extLst>
            <a:ext uri="{FF2B5EF4-FFF2-40B4-BE49-F238E27FC236}">
              <a16:creationId xmlns:a16="http://schemas.microsoft.com/office/drawing/2014/main" id="{00000000-0008-0000-0800-00002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2" name="Text Box 266">
          <a:extLst>
            <a:ext uri="{FF2B5EF4-FFF2-40B4-BE49-F238E27FC236}">
              <a16:creationId xmlns:a16="http://schemas.microsoft.com/office/drawing/2014/main" id="{00000000-0008-0000-0800-00002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3" name="Text Box 267">
          <a:extLst>
            <a:ext uri="{FF2B5EF4-FFF2-40B4-BE49-F238E27FC236}">
              <a16:creationId xmlns:a16="http://schemas.microsoft.com/office/drawing/2014/main" id="{00000000-0008-0000-0800-00002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4" name="Text Box 268">
          <a:extLst>
            <a:ext uri="{FF2B5EF4-FFF2-40B4-BE49-F238E27FC236}">
              <a16:creationId xmlns:a16="http://schemas.microsoft.com/office/drawing/2014/main" id="{00000000-0008-0000-0800-00002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5" name="Text Box 269">
          <a:extLst>
            <a:ext uri="{FF2B5EF4-FFF2-40B4-BE49-F238E27FC236}">
              <a16:creationId xmlns:a16="http://schemas.microsoft.com/office/drawing/2014/main" id="{00000000-0008-0000-0800-00002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6" name="Text Box 270">
          <a:extLst>
            <a:ext uri="{FF2B5EF4-FFF2-40B4-BE49-F238E27FC236}">
              <a16:creationId xmlns:a16="http://schemas.microsoft.com/office/drawing/2014/main" id="{00000000-0008-0000-0800-00002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7" name="Text Box 271">
          <a:extLst>
            <a:ext uri="{FF2B5EF4-FFF2-40B4-BE49-F238E27FC236}">
              <a16:creationId xmlns:a16="http://schemas.microsoft.com/office/drawing/2014/main" id="{00000000-0008-0000-0800-00002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8" name="Text Box 272">
          <a:extLst>
            <a:ext uri="{FF2B5EF4-FFF2-40B4-BE49-F238E27FC236}">
              <a16:creationId xmlns:a16="http://schemas.microsoft.com/office/drawing/2014/main" id="{00000000-0008-0000-0800-00003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9" name="Text Box 273">
          <a:extLst>
            <a:ext uri="{FF2B5EF4-FFF2-40B4-BE49-F238E27FC236}">
              <a16:creationId xmlns:a16="http://schemas.microsoft.com/office/drawing/2014/main" id="{00000000-0008-0000-0800-00003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0" name="Text Box 274">
          <a:extLst>
            <a:ext uri="{FF2B5EF4-FFF2-40B4-BE49-F238E27FC236}">
              <a16:creationId xmlns:a16="http://schemas.microsoft.com/office/drawing/2014/main" id="{00000000-0008-0000-0800-00003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1" name="Text Box 275">
          <a:extLst>
            <a:ext uri="{FF2B5EF4-FFF2-40B4-BE49-F238E27FC236}">
              <a16:creationId xmlns:a16="http://schemas.microsoft.com/office/drawing/2014/main" id="{00000000-0008-0000-0800-00003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2" name="Text Box 276">
          <a:extLst>
            <a:ext uri="{FF2B5EF4-FFF2-40B4-BE49-F238E27FC236}">
              <a16:creationId xmlns:a16="http://schemas.microsoft.com/office/drawing/2014/main" id="{00000000-0008-0000-0800-00003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3" name="Text Box 277">
          <a:extLst>
            <a:ext uri="{FF2B5EF4-FFF2-40B4-BE49-F238E27FC236}">
              <a16:creationId xmlns:a16="http://schemas.microsoft.com/office/drawing/2014/main" id="{00000000-0008-0000-0800-00003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4" name="Text Box 278">
          <a:extLst>
            <a:ext uri="{FF2B5EF4-FFF2-40B4-BE49-F238E27FC236}">
              <a16:creationId xmlns:a16="http://schemas.microsoft.com/office/drawing/2014/main" id="{00000000-0008-0000-0800-00003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5" name="Text Box 279">
          <a:extLst>
            <a:ext uri="{FF2B5EF4-FFF2-40B4-BE49-F238E27FC236}">
              <a16:creationId xmlns:a16="http://schemas.microsoft.com/office/drawing/2014/main" id="{00000000-0008-0000-0800-00003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6" name="Text Box 280">
          <a:extLst>
            <a:ext uri="{FF2B5EF4-FFF2-40B4-BE49-F238E27FC236}">
              <a16:creationId xmlns:a16="http://schemas.microsoft.com/office/drawing/2014/main" id="{00000000-0008-0000-0800-00003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7" name="Text Box 281">
          <a:extLst>
            <a:ext uri="{FF2B5EF4-FFF2-40B4-BE49-F238E27FC236}">
              <a16:creationId xmlns:a16="http://schemas.microsoft.com/office/drawing/2014/main" id="{00000000-0008-0000-0800-00003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8" name="Text Box 282">
          <a:extLst>
            <a:ext uri="{FF2B5EF4-FFF2-40B4-BE49-F238E27FC236}">
              <a16:creationId xmlns:a16="http://schemas.microsoft.com/office/drawing/2014/main" id="{00000000-0008-0000-0800-00003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9" name="Text Box 283">
          <a:extLst>
            <a:ext uri="{FF2B5EF4-FFF2-40B4-BE49-F238E27FC236}">
              <a16:creationId xmlns:a16="http://schemas.microsoft.com/office/drawing/2014/main" id="{00000000-0008-0000-0800-00003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0" name="Text Box 284">
          <a:extLst>
            <a:ext uri="{FF2B5EF4-FFF2-40B4-BE49-F238E27FC236}">
              <a16:creationId xmlns:a16="http://schemas.microsoft.com/office/drawing/2014/main" id="{00000000-0008-0000-0800-00003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1" name="Text Box 285">
          <a:extLst>
            <a:ext uri="{FF2B5EF4-FFF2-40B4-BE49-F238E27FC236}">
              <a16:creationId xmlns:a16="http://schemas.microsoft.com/office/drawing/2014/main" id="{00000000-0008-0000-0800-00003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2" name="Text Box 286">
          <a:extLst>
            <a:ext uri="{FF2B5EF4-FFF2-40B4-BE49-F238E27FC236}">
              <a16:creationId xmlns:a16="http://schemas.microsoft.com/office/drawing/2014/main" id="{00000000-0008-0000-0800-00003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3" name="Text Box 287">
          <a:extLst>
            <a:ext uri="{FF2B5EF4-FFF2-40B4-BE49-F238E27FC236}">
              <a16:creationId xmlns:a16="http://schemas.microsoft.com/office/drawing/2014/main" id="{00000000-0008-0000-0800-00003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4" name="Text Box 288">
          <a:extLst>
            <a:ext uri="{FF2B5EF4-FFF2-40B4-BE49-F238E27FC236}">
              <a16:creationId xmlns:a16="http://schemas.microsoft.com/office/drawing/2014/main" id="{00000000-0008-0000-0800-00004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5" name="Text Box 289">
          <a:extLst>
            <a:ext uri="{FF2B5EF4-FFF2-40B4-BE49-F238E27FC236}">
              <a16:creationId xmlns:a16="http://schemas.microsoft.com/office/drawing/2014/main" id="{00000000-0008-0000-0800-00004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6" name="Text Box 290">
          <a:extLst>
            <a:ext uri="{FF2B5EF4-FFF2-40B4-BE49-F238E27FC236}">
              <a16:creationId xmlns:a16="http://schemas.microsoft.com/office/drawing/2014/main" id="{00000000-0008-0000-0800-00004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7" name="Text Box 291">
          <a:extLst>
            <a:ext uri="{FF2B5EF4-FFF2-40B4-BE49-F238E27FC236}">
              <a16:creationId xmlns:a16="http://schemas.microsoft.com/office/drawing/2014/main" id="{00000000-0008-0000-0800-00004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8" name="Text Box 292">
          <a:extLst>
            <a:ext uri="{FF2B5EF4-FFF2-40B4-BE49-F238E27FC236}">
              <a16:creationId xmlns:a16="http://schemas.microsoft.com/office/drawing/2014/main" id="{00000000-0008-0000-0800-00004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9" name="Text Box 293">
          <a:extLst>
            <a:ext uri="{FF2B5EF4-FFF2-40B4-BE49-F238E27FC236}">
              <a16:creationId xmlns:a16="http://schemas.microsoft.com/office/drawing/2014/main" id="{00000000-0008-0000-0800-00004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0" name="Text Box 294">
          <a:extLst>
            <a:ext uri="{FF2B5EF4-FFF2-40B4-BE49-F238E27FC236}">
              <a16:creationId xmlns:a16="http://schemas.microsoft.com/office/drawing/2014/main" id="{00000000-0008-0000-0800-00004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1" name="Text Box 295">
          <a:extLst>
            <a:ext uri="{FF2B5EF4-FFF2-40B4-BE49-F238E27FC236}">
              <a16:creationId xmlns:a16="http://schemas.microsoft.com/office/drawing/2014/main" id="{00000000-0008-0000-0800-00004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2" name="Text Box 296">
          <a:extLst>
            <a:ext uri="{FF2B5EF4-FFF2-40B4-BE49-F238E27FC236}">
              <a16:creationId xmlns:a16="http://schemas.microsoft.com/office/drawing/2014/main" id="{00000000-0008-0000-0800-00004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3" name="Text Box 297">
          <a:extLst>
            <a:ext uri="{FF2B5EF4-FFF2-40B4-BE49-F238E27FC236}">
              <a16:creationId xmlns:a16="http://schemas.microsoft.com/office/drawing/2014/main" id="{00000000-0008-0000-0800-00004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4" name="Text Box 298">
          <a:extLst>
            <a:ext uri="{FF2B5EF4-FFF2-40B4-BE49-F238E27FC236}">
              <a16:creationId xmlns:a16="http://schemas.microsoft.com/office/drawing/2014/main" id="{00000000-0008-0000-0800-00004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5" name="Text Box 299">
          <a:extLst>
            <a:ext uri="{FF2B5EF4-FFF2-40B4-BE49-F238E27FC236}">
              <a16:creationId xmlns:a16="http://schemas.microsoft.com/office/drawing/2014/main" id="{00000000-0008-0000-0800-00004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6" name="Text Box 300">
          <a:extLst>
            <a:ext uri="{FF2B5EF4-FFF2-40B4-BE49-F238E27FC236}">
              <a16:creationId xmlns:a16="http://schemas.microsoft.com/office/drawing/2014/main" id="{00000000-0008-0000-0800-00004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7" name="Text Box 301">
          <a:extLst>
            <a:ext uri="{FF2B5EF4-FFF2-40B4-BE49-F238E27FC236}">
              <a16:creationId xmlns:a16="http://schemas.microsoft.com/office/drawing/2014/main" id="{00000000-0008-0000-0800-00004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8" name="Text Box 302">
          <a:extLst>
            <a:ext uri="{FF2B5EF4-FFF2-40B4-BE49-F238E27FC236}">
              <a16:creationId xmlns:a16="http://schemas.microsoft.com/office/drawing/2014/main" id="{00000000-0008-0000-0800-00004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9" name="Text Box 303">
          <a:extLst>
            <a:ext uri="{FF2B5EF4-FFF2-40B4-BE49-F238E27FC236}">
              <a16:creationId xmlns:a16="http://schemas.microsoft.com/office/drawing/2014/main" id="{00000000-0008-0000-0800-00004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0" name="Text Box 304">
          <a:extLst>
            <a:ext uri="{FF2B5EF4-FFF2-40B4-BE49-F238E27FC236}">
              <a16:creationId xmlns:a16="http://schemas.microsoft.com/office/drawing/2014/main" id="{00000000-0008-0000-0800-00005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1" name="Text Box 305">
          <a:extLst>
            <a:ext uri="{FF2B5EF4-FFF2-40B4-BE49-F238E27FC236}">
              <a16:creationId xmlns:a16="http://schemas.microsoft.com/office/drawing/2014/main" id="{00000000-0008-0000-0800-00005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2" name="Text Box 306">
          <a:extLst>
            <a:ext uri="{FF2B5EF4-FFF2-40B4-BE49-F238E27FC236}">
              <a16:creationId xmlns:a16="http://schemas.microsoft.com/office/drawing/2014/main" id="{00000000-0008-0000-0800-00005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3" name="Text Box 307">
          <a:extLst>
            <a:ext uri="{FF2B5EF4-FFF2-40B4-BE49-F238E27FC236}">
              <a16:creationId xmlns:a16="http://schemas.microsoft.com/office/drawing/2014/main" id="{00000000-0008-0000-0800-00005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4" name="Text Box 308">
          <a:extLst>
            <a:ext uri="{FF2B5EF4-FFF2-40B4-BE49-F238E27FC236}">
              <a16:creationId xmlns:a16="http://schemas.microsoft.com/office/drawing/2014/main" id="{00000000-0008-0000-0800-00005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5" name="Text Box 309">
          <a:extLst>
            <a:ext uri="{FF2B5EF4-FFF2-40B4-BE49-F238E27FC236}">
              <a16:creationId xmlns:a16="http://schemas.microsoft.com/office/drawing/2014/main" id="{00000000-0008-0000-0800-00005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6" name="Text Box 310">
          <a:extLst>
            <a:ext uri="{FF2B5EF4-FFF2-40B4-BE49-F238E27FC236}">
              <a16:creationId xmlns:a16="http://schemas.microsoft.com/office/drawing/2014/main" id="{00000000-0008-0000-0800-00005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7" name="Text Box 311">
          <a:extLst>
            <a:ext uri="{FF2B5EF4-FFF2-40B4-BE49-F238E27FC236}">
              <a16:creationId xmlns:a16="http://schemas.microsoft.com/office/drawing/2014/main" id="{00000000-0008-0000-0800-00005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8" name="Text Box 312">
          <a:extLst>
            <a:ext uri="{FF2B5EF4-FFF2-40B4-BE49-F238E27FC236}">
              <a16:creationId xmlns:a16="http://schemas.microsoft.com/office/drawing/2014/main" id="{00000000-0008-0000-0800-00005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9" name="Text Box 313">
          <a:extLst>
            <a:ext uri="{FF2B5EF4-FFF2-40B4-BE49-F238E27FC236}">
              <a16:creationId xmlns:a16="http://schemas.microsoft.com/office/drawing/2014/main" id="{00000000-0008-0000-0800-00005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0" name="Text Box 314">
          <a:extLst>
            <a:ext uri="{FF2B5EF4-FFF2-40B4-BE49-F238E27FC236}">
              <a16:creationId xmlns:a16="http://schemas.microsoft.com/office/drawing/2014/main" id="{00000000-0008-0000-0800-00005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1" name="Text Box 315">
          <a:extLst>
            <a:ext uri="{FF2B5EF4-FFF2-40B4-BE49-F238E27FC236}">
              <a16:creationId xmlns:a16="http://schemas.microsoft.com/office/drawing/2014/main" id="{00000000-0008-0000-0800-00005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2" name="Text Box 316">
          <a:extLst>
            <a:ext uri="{FF2B5EF4-FFF2-40B4-BE49-F238E27FC236}">
              <a16:creationId xmlns:a16="http://schemas.microsoft.com/office/drawing/2014/main" id="{00000000-0008-0000-0800-00005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3" name="Text Box 317">
          <a:extLst>
            <a:ext uri="{FF2B5EF4-FFF2-40B4-BE49-F238E27FC236}">
              <a16:creationId xmlns:a16="http://schemas.microsoft.com/office/drawing/2014/main" id="{00000000-0008-0000-0800-00005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4" name="Text Box 318">
          <a:extLst>
            <a:ext uri="{FF2B5EF4-FFF2-40B4-BE49-F238E27FC236}">
              <a16:creationId xmlns:a16="http://schemas.microsoft.com/office/drawing/2014/main" id="{00000000-0008-0000-0800-00005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5" name="Text Box 319">
          <a:extLst>
            <a:ext uri="{FF2B5EF4-FFF2-40B4-BE49-F238E27FC236}">
              <a16:creationId xmlns:a16="http://schemas.microsoft.com/office/drawing/2014/main" id="{00000000-0008-0000-0800-00005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6" name="Text Box 320">
          <a:extLst>
            <a:ext uri="{FF2B5EF4-FFF2-40B4-BE49-F238E27FC236}">
              <a16:creationId xmlns:a16="http://schemas.microsoft.com/office/drawing/2014/main" id="{00000000-0008-0000-0800-00006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7" name="Text Box 28">
          <a:extLst>
            <a:ext uri="{FF2B5EF4-FFF2-40B4-BE49-F238E27FC236}">
              <a16:creationId xmlns:a16="http://schemas.microsoft.com/office/drawing/2014/main" id="{00000000-0008-0000-0800-00006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8" name="Text Box 29">
          <a:extLst>
            <a:ext uri="{FF2B5EF4-FFF2-40B4-BE49-F238E27FC236}">
              <a16:creationId xmlns:a16="http://schemas.microsoft.com/office/drawing/2014/main" id="{00000000-0008-0000-0800-00006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9" name="Text Box 30">
          <a:extLst>
            <a:ext uri="{FF2B5EF4-FFF2-40B4-BE49-F238E27FC236}">
              <a16:creationId xmlns:a16="http://schemas.microsoft.com/office/drawing/2014/main" id="{00000000-0008-0000-0800-00006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0" name="Text Box 31">
          <a:extLst>
            <a:ext uri="{FF2B5EF4-FFF2-40B4-BE49-F238E27FC236}">
              <a16:creationId xmlns:a16="http://schemas.microsoft.com/office/drawing/2014/main" id="{00000000-0008-0000-0800-00006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1" name="Text Box 32">
          <a:extLst>
            <a:ext uri="{FF2B5EF4-FFF2-40B4-BE49-F238E27FC236}">
              <a16:creationId xmlns:a16="http://schemas.microsoft.com/office/drawing/2014/main" id="{00000000-0008-0000-0800-00006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2" name="Text Box 33">
          <a:extLst>
            <a:ext uri="{FF2B5EF4-FFF2-40B4-BE49-F238E27FC236}">
              <a16:creationId xmlns:a16="http://schemas.microsoft.com/office/drawing/2014/main" id="{00000000-0008-0000-0800-00006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3" name="Text Box 34">
          <a:extLst>
            <a:ext uri="{FF2B5EF4-FFF2-40B4-BE49-F238E27FC236}">
              <a16:creationId xmlns:a16="http://schemas.microsoft.com/office/drawing/2014/main" id="{00000000-0008-0000-0800-00006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4" name="Text Box 35">
          <a:extLst>
            <a:ext uri="{FF2B5EF4-FFF2-40B4-BE49-F238E27FC236}">
              <a16:creationId xmlns:a16="http://schemas.microsoft.com/office/drawing/2014/main" id="{00000000-0008-0000-0800-00006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5" name="Text Box 36">
          <a:extLst>
            <a:ext uri="{FF2B5EF4-FFF2-40B4-BE49-F238E27FC236}">
              <a16:creationId xmlns:a16="http://schemas.microsoft.com/office/drawing/2014/main" id="{00000000-0008-0000-0800-00006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6" name="Text Box 37">
          <a:extLst>
            <a:ext uri="{FF2B5EF4-FFF2-40B4-BE49-F238E27FC236}">
              <a16:creationId xmlns:a16="http://schemas.microsoft.com/office/drawing/2014/main" id="{00000000-0008-0000-0800-00006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7" name="Text Box 38">
          <a:extLst>
            <a:ext uri="{FF2B5EF4-FFF2-40B4-BE49-F238E27FC236}">
              <a16:creationId xmlns:a16="http://schemas.microsoft.com/office/drawing/2014/main" id="{00000000-0008-0000-0800-00006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8" name="Text Box 39">
          <a:extLst>
            <a:ext uri="{FF2B5EF4-FFF2-40B4-BE49-F238E27FC236}">
              <a16:creationId xmlns:a16="http://schemas.microsoft.com/office/drawing/2014/main" id="{00000000-0008-0000-0800-00006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9" name="Text Box 40">
          <a:extLst>
            <a:ext uri="{FF2B5EF4-FFF2-40B4-BE49-F238E27FC236}">
              <a16:creationId xmlns:a16="http://schemas.microsoft.com/office/drawing/2014/main" id="{00000000-0008-0000-0800-00006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0" name="Text Box 41">
          <a:extLst>
            <a:ext uri="{FF2B5EF4-FFF2-40B4-BE49-F238E27FC236}">
              <a16:creationId xmlns:a16="http://schemas.microsoft.com/office/drawing/2014/main" id="{00000000-0008-0000-0800-00006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1" name="Text Box 42">
          <a:extLst>
            <a:ext uri="{FF2B5EF4-FFF2-40B4-BE49-F238E27FC236}">
              <a16:creationId xmlns:a16="http://schemas.microsoft.com/office/drawing/2014/main" id="{00000000-0008-0000-0800-00006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2" name="Text Box 43">
          <a:extLst>
            <a:ext uri="{FF2B5EF4-FFF2-40B4-BE49-F238E27FC236}">
              <a16:creationId xmlns:a16="http://schemas.microsoft.com/office/drawing/2014/main" id="{00000000-0008-0000-0800-00007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3" name="Text Box 44">
          <a:extLst>
            <a:ext uri="{FF2B5EF4-FFF2-40B4-BE49-F238E27FC236}">
              <a16:creationId xmlns:a16="http://schemas.microsoft.com/office/drawing/2014/main" id="{00000000-0008-0000-0800-00007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4" name="Text Box 45">
          <a:extLst>
            <a:ext uri="{FF2B5EF4-FFF2-40B4-BE49-F238E27FC236}">
              <a16:creationId xmlns:a16="http://schemas.microsoft.com/office/drawing/2014/main" id="{00000000-0008-0000-0800-00007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5" name="Text Box 46">
          <a:extLst>
            <a:ext uri="{FF2B5EF4-FFF2-40B4-BE49-F238E27FC236}">
              <a16:creationId xmlns:a16="http://schemas.microsoft.com/office/drawing/2014/main" id="{00000000-0008-0000-0800-00007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6" name="Text Box 47">
          <a:extLst>
            <a:ext uri="{FF2B5EF4-FFF2-40B4-BE49-F238E27FC236}">
              <a16:creationId xmlns:a16="http://schemas.microsoft.com/office/drawing/2014/main" id="{00000000-0008-0000-0800-00007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7" name="Text Box 48">
          <a:extLst>
            <a:ext uri="{FF2B5EF4-FFF2-40B4-BE49-F238E27FC236}">
              <a16:creationId xmlns:a16="http://schemas.microsoft.com/office/drawing/2014/main" id="{00000000-0008-0000-0800-00007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8" name="Text Box 49">
          <a:extLst>
            <a:ext uri="{FF2B5EF4-FFF2-40B4-BE49-F238E27FC236}">
              <a16:creationId xmlns:a16="http://schemas.microsoft.com/office/drawing/2014/main" id="{00000000-0008-0000-0800-00007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9" name="Text Box 50">
          <a:extLst>
            <a:ext uri="{FF2B5EF4-FFF2-40B4-BE49-F238E27FC236}">
              <a16:creationId xmlns:a16="http://schemas.microsoft.com/office/drawing/2014/main" id="{00000000-0008-0000-0800-00007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0" name="Text Box 51">
          <a:extLst>
            <a:ext uri="{FF2B5EF4-FFF2-40B4-BE49-F238E27FC236}">
              <a16:creationId xmlns:a16="http://schemas.microsoft.com/office/drawing/2014/main" id="{00000000-0008-0000-0800-00007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1" name="Text Box 52">
          <a:extLst>
            <a:ext uri="{FF2B5EF4-FFF2-40B4-BE49-F238E27FC236}">
              <a16:creationId xmlns:a16="http://schemas.microsoft.com/office/drawing/2014/main" id="{00000000-0008-0000-0800-00007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2" name="Text Box 53">
          <a:extLst>
            <a:ext uri="{FF2B5EF4-FFF2-40B4-BE49-F238E27FC236}">
              <a16:creationId xmlns:a16="http://schemas.microsoft.com/office/drawing/2014/main" id="{00000000-0008-0000-0800-00007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3" name="Text Box 54">
          <a:extLst>
            <a:ext uri="{FF2B5EF4-FFF2-40B4-BE49-F238E27FC236}">
              <a16:creationId xmlns:a16="http://schemas.microsoft.com/office/drawing/2014/main" id="{00000000-0008-0000-0800-00007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4" name="Text Box 55">
          <a:extLst>
            <a:ext uri="{FF2B5EF4-FFF2-40B4-BE49-F238E27FC236}">
              <a16:creationId xmlns:a16="http://schemas.microsoft.com/office/drawing/2014/main" id="{00000000-0008-0000-0800-00007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5" name="Text Box 56">
          <a:extLst>
            <a:ext uri="{FF2B5EF4-FFF2-40B4-BE49-F238E27FC236}">
              <a16:creationId xmlns:a16="http://schemas.microsoft.com/office/drawing/2014/main" id="{00000000-0008-0000-0800-00007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6" name="Text Box 57">
          <a:extLst>
            <a:ext uri="{FF2B5EF4-FFF2-40B4-BE49-F238E27FC236}">
              <a16:creationId xmlns:a16="http://schemas.microsoft.com/office/drawing/2014/main" id="{00000000-0008-0000-0800-00007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7" name="Text Box 58">
          <a:extLst>
            <a:ext uri="{FF2B5EF4-FFF2-40B4-BE49-F238E27FC236}">
              <a16:creationId xmlns:a16="http://schemas.microsoft.com/office/drawing/2014/main" id="{00000000-0008-0000-0800-00007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8" name="Text Box 59">
          <a:extLst>
            <a:ext uri="{FF2B5EF4-FFF2-40B4-BE49-F238E27FC236}">
              <a16:creationId xmlns:a16="http://schemas.microsoft.com/office/drawing/2014/main" id="{00000000-0008-0000-0800-00008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9" name="Text Box 60">
          <a:extLst>
            <a:ext uri="{FF2B5EF4-FFF2-40B4-BE49-F238E27FC236}">
              <a16:creationId xmlns:a16="http://schemas.microsoft.com/office/drawing/2014/main" id="{00000000-0008-0000-0800-00008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0" name="Text Box 61">
          <a:extLst>
            <a:ext uri="{FF2B5EF4-FFF2-40B4-BE49-F238E27FC236}">
              <a16:creationId xmlns:a16="http://schemas.microsoft.com/office/drawing/2014/main" id="{00000000-0008-0000-0800-00008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1" name="Text Box 62">
          <a:extLst>
            <a:ext uri="{FF2B5EF4-FFF2-40B4-BE49-F238E27FC236}">
              <a16:creationId xmlns:a16="http://schemas.microsoft.com/office/drawing/2014/main" id="{00000000-0008-0000-0800-00008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2" name="Text Box 63">
          <a:extLst>
            <a:ext uri="{FF2B5EF4-FFF2-40B4-BE49-F238E27FC236}">
              <a16:creationId xmlns:a16="http://schemas.microsoft.com/office/drawing/2014/main" id="{00000000-0008-0000-0800-00008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3" name="Text Box 64">
          <a:extLst>
            <a:ext uri="{FF2B5EF4-FFF2-40B4-BE49-F238E27FC236}">
              <a16:creationId xmlns:a16="http://schemas.microsoft.com/office/drawing/2014/main" id="{00000000-0008-0000-0800-00008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4" name="Text Box 65">
          <a:extLst>
            <a:ext uri="{FF2B5EF4-FFF2-40B4-BE49-F238E27FC236}">
              <a16:creationId xmlns:a16="http://schemas.microsoft.com/office/drawing/2014/main" id="{00000000-0008-0000-0800-00008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5" name="Text Box 66">
          <a:extLst>
            <a:ext uri="{FF2B5EF4-FFF2-40B4-BE49-F238E27FC236}">
              <a16:creationId xmlns:a16="http://schemas.microsoft.com/office/drawing/2014/main" id="{00000000-0008-0000-0800-00008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6" name="Text Box 67">
          <a:extLst>
            <a:ext uri="{FF2B5EF4-FFF2-40B4-BE49-F238E27FC236}">
              <a16:creationId xmlns:a16="http://schemas.microsoft.com/office/drawing/2014/main" id="{00000000-0008-0000-0800-00008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7" name="Text Box 68">
          <a:extLst>
            <a:ext uri="{FF2B5EF4-FFF2-40B4-BE49-F238E27FC236}">
              <a16:creationId xmlns:a16="http://schemas.microsoft.com/office/drawing/2014/main" id="{00000000-0008-0000-0800-00008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8" name="Text Box 69">
          <a:extLst>
            <a:ext uri="{FF2B5EF4-FFF2-40B4-BE49-F238E27FC236}">
              <a16:creationId xmlns:a16="http://schemas.microsoft.com/office/drawing/2014/main" id="{00000000-0008-0000-0800-00008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9" name="Text Box 70">
          <a:extLst>
            <a:ext uri="{FF2B5EF4-FFF2-40B4-BE49-F238E27FC236}">
              <a16:creationId xmlns:a16="http://schemas.microsoft.com/office/drawing/2014/main" id="{00000000-0008-0000-0800-00008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0" name="Text Box 71">
          <a:extLst>
            <a:ext uri="{FF2B5EF4-FFF2-40B4-BE49-F238E27FC236}">
              <a16:creationId xmlns:a16="http://schemas.microsoft.com/office/drawing/2014/main" id="{00000000-0008-0000-0800-00008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1" name="Text Box 72">
          <a:extLst>
            <a:ext uri="{FF2B5EF4-FFF2-40B4-BE49-F238E27FC236}">
              <a16:creationId xmlns:a16="http://schemas.microsoft.com/office/drawing/2014/main" id="{00000000-0008-0000-0800-00008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2" name="Text Box 73">
          <a:extLst>
            <a:ext uri="{FF2B5EF4-FFF2-40B4-BE49-F238E27FC236}">
              <a16:creationId xmlns:a16="http://schemas.microsoft.com/office/drawing/2014/main" id="{00000000-0008-0000-0800-00008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3" name="Text Box 74">
          <a:extLst>
            <a:ext uri="{FF2B5EF4-FFF2-40B4-BE49-F238E27FC236}">
              <a16:creationId xmlns:a16="http://schemas.microsoft.com/office/drawing/2014/main" id="{00000000-0008-0000-0800-00008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4" name="Text Box 75">
          <a:extLst>
            <a:ext uri="{FF2B5EF4-FFF2-40B4-BE49-F238E27FC236}">
              <a16:creationId xmlns:a16="http://schemas.microsoft.com/office/drawing/2014/main" id="{00000000-0008-0000-0800-00009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5" name="Text Box 76">
          <a:extLst>
            <a:ext uri="{FF2B5EF4-FFF2-40B4-BE49-F238E27FC236}">
              <a16:creationId xmlns:a16="http://schemas.microsoft.com/office/drawing/2014/main" id="{00000000-0008-0000-0800-00009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6" name="Text Box 77">
          <a:extLst>
            <a:ext uri="{FF2B5EF4-FFF2-40B4-BE49-F238E27FC236}">
              <a16:creationId xmlns:a16="http://schemas.microsoft.com/office/drawing/2014/main" id="{00000000-0008-0000-0800-00009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7" name="Text Box 78">
          <a:extLst>
            <a:ext uri="{FF2B5EF4-FFF2-40B4-BE49-F238E27FC236}">
              <a16:creationId xmlns:a16="http://schemas.microsoft.com/office/drawing/2014/main" id="{00000000-0008-0000-0800-00009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8" name="Text Box 79">
          <a:extLst>
            <a:ext uri="{FF2B5EF4-FFF2-40B4-BE49-F238E27FC236}">
              <a16:creationId xmlns:a16="http://schemas.microsoft.com/office/drawing/2014/main" id="{00000000-0008-0000-0800-00009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9" name="Text Box 80">
          <a:extLst>
            <a:ext uri="{FF2B5EF4-FFF2-40B4-BE49-F238E27FC236}">
              <a16:creationId xmlns:a16="http://schemas.microsoft.com/office/drawing/2014/main" id="{00000000-0008-0000-0800-00009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0" name="Text Box 81">
          <a:extLst>
            <a:ext uri="{FF2B5EF4-FFF2-40B4-BE49-F238E27FC236}">
              <a16:creationId xmlns:a16="http://schemas.microsoft.com/office/drawing/2014/main" id="{00000000-0008-0000-0800-00009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1" name="Text Box 82">
          <a:extLst>
            <a:ext uri="{FF2B5EF4-FFF2-40B4-BE49-F238E27FC236}">
              <a16:creationId xmlns:a16="http://schemas.microsoft.com/office/drawing/2014/main" id="{00000000-0008-0000-0800-00009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2" name="Text Box 83">
          <a:extLst>
            <a:ext uri="{FF2B5EF4-FFF2-40B4-BE49-F238E27FC236}">
              <a16:creationId xmlns:a16="http://schemas.microsoft.com/office/drawing/2014/main" id="{00000000-0008-0000-0800-00009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3" name="Text Box 84">
          <a:extLst>
            <a:ext uri="{FF2B5EF4-FFF2-40B4-BE49-F238E27FC236}">
              <a16:creationId xmlns:a16="http://schemas.microsoft.com/office/drawing/2014/main" id="{00000000-0008-0000-0800-00009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4" name="Text Box 85">
          <a:extLst>
            <a:ext uri="{FF2B5EF4-FFF2-40B4-BE49-F238E27FC236}">
              <a16:creationId xmlns:a16="http://schemas.microsoft.com/office/drawing/2014/main" id="{00000000-0008-0000-0800-00009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5" name="Text Box 86">
          <a:extLst>
            <a:ext uri="{FF2B5EF4-FFF2-40B4-BE49-F238E27FC236}">
              <a16:creationId xmlns:a16="http://schemas.microsoft.com/office/drawing/2014/main" id="{00000000-0008-0000-0800-00009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6" name="Text Box 87">
          <a:extLst>
            <a:ext uri="{FF2B5EF4-FFF2-40B4-BE49-F238E27FC236}">
              <a16:creationId xmlns:a16="http://schemas.microsoft.com/office/drawing/2014/main" id="{00000000-0008-0000-0800-00009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7" name="Text Box 88">
          <a:extLst>
            <a:ext uri="{FF2B5EF4-FFF2-40B4-BE49-F238E27FC236}">
              <a16:creationId xmlns:a16="http://schemas.microsoft.com/office/drawing/2014/main" id="{00000000-0008-0000-0800-00009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8" name="Text Box 89">
          <a:extLst>
            <a:ext uri="{FF2B5EF4-FFF2-40B4-BE49-F238E27FC236}">
              <a16:creationId xmlns:a16="http://schemas.microsoft.com/office/drawing/2014/main" id="{00000000-0008-0000-0800-00009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9" name="Text Box 90">
          <a:extLst>
            <a:ext uri="{FF2B5EF4-FFF2-40B4-BE49-F238E27FC236}">
              <a16:creationId xmlns:a16="http://schemas.microsoft.com/office/drawing/2014/main" id="{00000000-0008-0000-0800-00009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0" name="Text Box 91">
          <a:extLst>
            <a:ext uri="{FF2B5EF4-FFF2-40B4-BE49-F238E27FC236}">
              <a16:creationId xmlns:a16="http://schemas.microsoft.com/office/drawing/2014/main" id="{00000000-0008-0000-0800-0000A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1" name="Text Box 92">
          <a:extLst>
            <a:ext uri="{FF2B5EF4-FFF2-40B4-BE49-F238E27FC236}">
              <a16:creationId xmlns:a16="http://schemas.microsoft.com/office/drawing/2014/main" id="{00000000-0008-0000-0800-0000A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2" name="Text Box 93">
          <a:extLst>
            <a:ext uri="{FF2B5EF4-FFF2-40B4-BE49-F238E27FC236}">
              <a16:creationId xmlns:a16="http://schemas.microsoft.com/office/drawing/2014/main" id="{00000000-0008-0000-0800-0000A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3" name="Text Box 94">
          <a:extLst>
            <a:ext uri="{FF2B5EF4-FFF2-40B4-BE49-F238E27FC236}">
              <a16:creationId xmlns:a16="http://schemas.microsoft.com/office/drawing/2014/main" id="{00000000-0008-0000-0800-0000A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4" name="Text Box 95">
          <a:extLst>
            <a:ext uri="{FF2B5EF4-FFF2-40B4-BE49-F238E27FC236}">
              <a16:creationId xmlns:a16="http://schemas.microsoft.com/office/drawing/2014/main" id="{00000000-0008-0000-0800-0000A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5" name="Text Box 96">
          <a:extLst>
            <a:ext uri="{FF2B5EF4-FFF2-40B4-BE49-F238E27FC236}">
              <a16:creationId xmlns:a16="http://schemas.microsoft.com/office/drawing/2014/main" id="{00000000-0008-0000-0800-0000A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6" name="Text Box 97">
          <a:extLst>
            <a:ext uri="{FF2B5EF4-FFF2-40B4-BE49-F238E27FC236}">
              <a16:creationId xmlns:a16="http://schemas.microsoft.com/office/drawing/2014/main" id="{00000000-0008-0000-0800-0000A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7" name="Text Box 100">
          <a:extLst>
            <a:ext uri="{FF2B5EF4-FFF2-40B4-BE49-F238E27FC236}">
              <a16:creationId xmlns:a16="http://schemas.microsoft.com/office/drawing/2014/main" id="{00000000-0008-0000-0800-0000A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8" name="Text Box 101">
          <a:extLst>
            <a:ext uri="{FF2B5EF4-FFF2-40B4-BE49-F238E27FC236}">
              <a16:creationId xmlns:a16="http://schemas.microsoft.com/office/drawing/2014/main" id="{00000000-0008-0000-0800-0000A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9" name="Text Box 102">
          <a:extLst>
            <a:ext uri="{FF2B5EF4-FFF2-40B4-BE49-F238E27FC236}">
              <a16:creationId xmlns:a16="http://schemas.microsoft.com/office/drawing/2014/main" id="{00000000-0008-0000-0800-0000A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0" name="Text Box 103">
          <a:extLst>
            <a:ext uri="{FF2B5EF4-FFF2-40B4-BE49-F238E27FC236}">
              <a16:creationId xmlns:a16="http://schemas.microsoft.com/office/drawing/2014/main" id="{00000000-0008-0000-0800-0000A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1" name="Text Box 104">
          <a:extLst>
            <a:ext uri="{FF2B5EF4-FFF2-40B4-BE49-F238E27FC236}">
              <a16:creationId xmlns:a16="http://schemas.microsoft.com/office/drawing/2014/main" id="{00000000-0008-0000-0800-0000A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2" name="Text Box 105">
          <a:extLst>
            <a:ext uri="{FF2B5EF4-FFF2-40B4-BE49-F238E27FC236}">
              <a16:creationId xmlns:a16="http://schemas.microsoft.com/office/drawing/2014/main" id="{00000000-0008-0000-0800-0000A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3" name="Text Box 106">
          <a:extLst>
            <a:ext uri="{FF2B5EF4-FFF2-40B4-BE49-F238E27FC236}">
              <a16:creationId xmlns:a16="http://schemas.microsoft.com/office/drawing/2014/main" id="{00000000-0008-0000-0800-0000A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4" name="Text Box 107">
          <a:extLst>
            <a:ext uri="{FF2B5EF4-FFF2-40B4-BE49-F238E27FC236}">
              <a16:creationId xmlns:a16="http://schemas.microsoft.com/office/drawing/2014/main" id="{00000000-0008-0000-0800-0000A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5" name="Text Box 108">
          <a:extLst>
            <a:ext uri="{FF2B5EF4-FFF2-40B4-BE49-F238E27FC236}">
              <a16:creationId xmlns:a16="http://schemas.microsoft.com/office/drawing/2014/main" id="{00000000-0008-0000-0800-0000A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6" name="Text Box 109">
          <a:extLst>
            <a:ext uri="{FF2B5EF4-FFF2-40B4-BE49-F238E27FC236}">
              <a16:creationId xmlns:a16="http://schemas.microsoft.com/office/drawing/2014/main" id="{00000000-0008-0000-0800-0000B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7" name="Text Box 110">
          <a:extLst>
            <a:ext uri="{FF2B5EF4-FFF2-40B4-BE49-F238E27FC236}">
              <a16:creationId xmlns:a16="http://schemas.microsoft.com/office/drawing/2014/main" id="{00000000-0008-0000-0800-0000B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8" name="Text Box 111">
          <a:extLst>
            <a:ext uri="{FF2B5EF4-FFF2-40B4-BE49-F238E27FC236}">
              <a16:creationId xmlns:a16="http://schemas.microsoft.com/office/drawing/2014/main" id="{00000000-0008-0000-0800-0000B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9" name="Text Box 119">
          <a:extLst>
            <a:ext uri="{FF2B5EF4-FFF2-40B4-BE49-F238E27FC236}">
              <a16:creationId xmlns:a16="http://schemas.microsoft.com/office/drawing/2014/main" id="{00000000-0008-0000-0800-0000B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0" name="Text Box 120">
          <a:extLst>
            <a:ext uri="{FF2B5EF4-FFF2-40B4-BE49-F238E27FC236}">
              <a16:creationId xmlns:a16="http://schemas.microsoft.com/office/drawing/2014/main" id="{00000000-0008-0000-0800-0000B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1" name="Text Box 121">
          <a:extLst>
            <a:ext uri="{FF2B5EF4-FFF2-40B4-BE49-F238E27FC236}">
              <a16:creationId xmlns:a16="http://schemas.microsoft.com/office/drawing/2014/main" id="{00000000-0008-0000-0800-0000B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2" name="Text Box 122">
          <a:extLst>
            <a:ext uri="{FF2B5EF4-FFF2-40B4-BE49-F238E27FC236}">
              <a16:creationId xmlns:a16="http://schemas.microsoft.com/office/drawing/2014/main" id="{00000000-0008-0000-0800-0000B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3" name="Text Box 123">
          <a:extLst>
            <a:ext uri="{FF2B5EF4-FFF2-40B4-BE49-F238E27FC236}">
              <a16:creationId xmlns:a16="http://schemas.microsoft.com/office/drawing/2014/main" id="{00000000-0008-0000-0800-0000B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4" name="Text Box 124">
          <a:extLst>
            <a:ext uri="{FF2B5EF4-FFF2-40B4-BE49-F238E27FC236}">
              <a16:creationId xmlns:a16="http://schemas.microsoft.com/office/drawing/2014/main" id="{00000000-0008-0000-0800-0000B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5" name="Text Box 125">
          <a:extLst>
            <a:ext uri="{FF2B5EF4-FFF2-40B4-BE49-F238E27FC236}">
              <a16:creationId xmlns:a16="http://schemas.microsoft.com/office/drawing/2014/main" id="{00000000-0008-0000-0800-0000B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6" name="Text Box 126">
          <a:extLst>
            <a:ext uri="{FF2B5EF4-FFF2-40B4-BE49-F238E27FC236}">
              <a16:creationId xmlns:a16="http://schemas.microsoft.com/office/drawing/2014/main" id="{00000000-0008-0000-0800-0000B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7" name="Text Box 127">
          <a:extLst>
            <a:ext uri="{FF2B5EF4-FFF2-40B4-BE49-F238E27FC236}">
              <a16:creationId xmlns:a16="http://schemas.microsoft.com/office/drawing/2014/main" id="{00000000-0008-0000-0800-0000B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8" name="Text Box 128">
          <a:extLst>
            <a:ext uri="{FF2B5EF4-FFF2-40B4-BE49-F238E27FC236}">
              <a16:creationId xmlns:a16="http://schemas.microsoft.com/office/drawing/2014/main" id="{00000000-0008-0000-0800-0000B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9" name="Text Box 129">
          <a:extLst>
            <a:ext uri="{FF2B5EF4-FFF2-40B4-BE49-F238E27FC236}">
              <a16:creationId xmlns:a16="http://schemas.microsoft.com/office/drawing/2014/main" id="{00000000-0008-0000-0800-0000B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30" name="Text Box 130">
          <a:extLst>
            <a:ext uri="{FF2B5EF4-FFF2-40B4-BE49-F238E27FC236}">
              <a16:creationId xmlns:a16="http://schemas.microsoft.com/office/drawing/2014/main" id="{00000000-0008-0000-0800-0000B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1" name="Text Box 133">
          <a:extLst>
            <a:ext uri="{FF2B5EF4-FFF2-40B4-BE49-F238E27FC236}">
              <a16:creationId xmlns:a16="http://schemas.microsoft.com/office/drawing/2014/main" id="{00000000-0008-0000-0800-0000B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2" name="Text Box 134">
          <a:extLst>
            <a:ext uri="{FF2B5EF4-FFF2-40B4-BE49-F238E27FC236}">
              <a16:creationId xmlns:a16="http://schemas.microsoft.com/office/drawing/2014/main" id="{00000000-0008-0000-0800-0000C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3" name="Text Box 135">
          <a:extLst>
            <a:ext uri="{FF2B5EF4-FFF2-40B4-BE49-F238E27FC236}">
              <a16:creationId xmlns:a16="http://schemas.microsoft.com/office/drawing/2014/main" id="{00000000-0008-0000-0800-0000C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4" name="Text Box 136">
          <a:extLst>
            <a:ext uri="{FF2B5EF4-FFF2-40B4-BE49-F238E27FC236}">
              <a16:creationId xmlns:a16="http://schemas.microsoft.com/office/drawing/2014/main" id="{00000000-0008-0000-0800-0000C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5" name="Text Box 137">
          <a:extLst>
            <a:ext uri="{FF2B5EF4-FFF2-40B4-BE49-F238E27FC236}">
              <a16:creationId xmlns:a16="http://schemas.microsoft.com/office/drawing/2014/main" id="{00000000-0008-0000-0800-0000C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6" name="Text Box 138">
          <a:extLst>
            <a:ext uri="{FF2B5EF4-FFF2-40B4-BE49-F238E27FC236}">
              <a16:creationId xmlns:a16="http://schemas.microsoft.com/office/drawing/2014/main" id="{00000000-0008-0000-0800-0000C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7" name="Text Box 139">
          <a:extLst>
            <a:ext uri="{FF2B5EF4-FFF2-40B4-BE49-F238E27FC236}">
              <a16:creationId xmlns:a16="http://schemas.microsoft.com/office/drawing/2014/main" id="{00000000-0008-0000-0800-0000C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8" name="Text Box 140">
          <a:extLst>
            <a:ext uri="{FF2B5EF4-FFF2-40B4-BE49-F238E27FC236}">
              <a16:creationId xmlns:a16="http://schemas.microsoft.com/office/drawing/2014/main" id="{00000000-0008-0000-0800-0000C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9" name="Text Box 141">
          <a:extLst>
            <a:ext uri="{FF2B5EF4-FFF2-40B4-BE49-F238E27FC236}">
              <a16:creationId xmlns:a16="http://schemas.microsoft.com/office/drawing/2014/main" id="{00000000-0008-0000-0800-0000C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0" name="Text Box 142">
          <a:extLst>
            <a:ext uri="{FF2B5EF4-FFF2-40B4-BE49-F238E27FC236}">
              <a16:creationId xmlns:a16="http://schemas.microsoft.com/office/drawing/2014/main" id="{00000000-0008-0000-0800-0000C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1" name="Text Box 143">
          <a:extLst>
            <a:ext uri="{FF2B5EF4-FFF2-40B4-BE49-F238E27FC236}">
              <a16:creationId xmlns:a16="http://schemas.microsoft.com/office/drawing/2014/main" id="{00000000-0008-0000-0800-0000C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2" name="Text Box 144">
          <a:extLst>
            <a:ext uri="{FF2B5EF4-FFF2-40B4-BE49-F238E27FC236}">
              <a16:creationId xmlns:a16="http://schemas.microsoft.com/office/drawing/2014/main" id="{00000000-0008-0000-0800-0000C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3" name="Text Box 145">
          <a:extLst>
            <a:ext uri="{FF2B5EF4-FFF2-40B4-BE49-F238E27FC236}">
              <a16:creationId xmlns:a16="http://schemas.microsoft.com/office/drawing/2014/main" id="{00000000-0008-0000-0800-0000C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4" name="Text Box 146">
          <a:extLst>
            <a:ext uri="{FF2B5EF4-FFF2-40B4-BE49-F238E27FC236}">
              <a16:creationId xmlns:a16="http://schemas.microsoft.com/office/drawing/2014/main" id="{00000000-0008-0000-0800-0000C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5" name="Text Box 147">
          <a:extLst>
            <a:ext uri="{FF2B5EF4-FFF2-40B4-BE49-F238E27FC236}">
              <a16:creationId xmlns:a16="http://schemas.microsoft.com/office/drawing/2014/main" id="{00000000-0008-0000-0800-0000C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6" name="Text Box 148">
          <a:extLst>
            <a:ext uri="{FF2B5EF4-FFF2-40B4-BE49-F238E27FC236}">
              <a16:creationId xmlns:a16="http://schemas.microsoft.com/office/drawing/2014/main" id="{00000000-0008-0000-0800-0000C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7" name="Text Box 149">
          <a:extLst>
            <a:ext uri="{FF2B5EF4-FFF2-40B4-BE49-F238E27FC236}">
              <a16:creationId xmlns:a16="http://schemas.microsoft.com/office/drawing/2014/main" id="{00000000-0008-0000-0800-0000C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8" name="Text Box 150">
          <a:extLst>
            <a:ext uri="{FF2B5EF4-FFF2-40B4-BE49-F238E27FC236}">
              <a16:creationId xmlns:a16="http://schemas.microsoft.com/office/drawing/2014/main" id="{00000000-0008-0000-0800-0000D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9" name="Text Box 151">
          <a:extLst>
            <a:ext uri="{FF2B5EF4-FFF2-40B4-BE49-F238E27FC236}">
              <a16:creationId xmlns:a16="http://schemas.microsoft.com/office/drawing/2014/main" id="{00000000-0008-0000-0800-0000D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0" name="Text Box 152">
          <a:extLst>
            <a:ext uri="{FF2B5EF4-FFF2-40B4-BE49-F238E27FC236}">
              <a16:creationId xmlns:a16="http://schemas.microsoft.com/office/drawing/2014/main" id="{00000000-0008-0000-0800-0000D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1" name="Text Box 153">
          <a:extLst>
            <a:ext uri="{FF2B5EF4-FFF2-40B4-BE49-F238E27FC236}">
              <a16:creationId xmlns:a16="http://schemas.microsoft.com/office/drawing/2014/main" id="{00000000-0008-0000-0800-0000D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2" name="Text Box 154">
          <a:extLst>
            <a:ext uri="{FF2B5EF4-FFF2-40B4-BE49-F238E27FC236}">
              <a16:creationId xmlns:a16="http://schemas.microsoft.com/office/drawing/2014/main" id="{00000000-0008-0000-0800-0000D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3" name="Text Box 155">
          <a:extLst>
            <a:ext uri="{FF2B5EF4-FFF2-40B4-BE49-F238E27FC236}">
              <a16:creationId xmlns:a16="http://schemas.microsoft.com/office/drawing/2014/main" id="{00000000-0008-0000-0800-0000D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4" name="Text Box 156">
          <a:extLst>
            <a:ext uri="{FF2B5EF4-FFF2-40B4-BE49-F238E27FC236}">
              <a16:creationId xmlns:a16="http://schemas.microsoft.com/office/drawing/2014/main" id="{00000000-0008-0000-0800-0000D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5" name="Text Box 157">
          <a:extLst>
            <a:ext uri="{FF2B5EF4-FFF2-40B4-BE49-F238E27FC236}">
              <a16:creationId xmlns:a16="http://schemas.microsoft.com/office/drawing/2014/main" id="{00000000-0008-0000-0800-0000D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6" name="Text Box 158">
          <a:extLst>
            <a:ext uri="{FF2B5EF4-FFF2-40B4-BE49-F238E27FC236}">
              <a16:creationId xmlns:a16="http://schemas.microsoft.com/office/drawing/2014/main" id="{00000000-0008-0000-0800-0000D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7" name="Text Box 159">
          <a:extLst>
            <a:ext uri="{FF2B5EF4-FFF2-40B4-BE49-F238E27FC236}">
              <a16:creationId xmlns:a16="http://schemas.microsoft.com/office/drawing/2014/main" id="{00000000-0008-0000-0800-0000D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8" name="Text Box 160">
          <a:extLst>
            <a:ext uri="{FF2B5EF4-FFF2-40B4-BE49-F238E27FC236}">
              <a16:creationId xmlns:a16="http://schemas.microsoft.com/office/drawing/2014/main" id="{00000000-0008-0000-0800-0000D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9" name="Text Box 161">
          <a:extLst>
            <a:ext uri="{FF2B5EF4-FFF2-40B4-BE49-F238E27FC236}">
              <a16:creationId xmlns:a16="http://schemas.microsoft.com/office/drawing/2014/main" id="{00000000-0008-0000-0800-0000D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0" name="Text Box 162">
          <a:extLst>
            <a:ext uri="{FF2B5EF4-FFF2-40B4-BE49-F238E27FC236}">
              <a16:creationId xmlns:a16="http://schemas.microsoft.com/office/drawing/2014/main" id="{00000000-0008-0000-0800-0000D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1" name="Text Box 163">
          <a:extLst>
            <a:ext uri="{FF2B5EF4-FFF2-40B4-BE49-F238E27FC236}">
              <a16:creationId xmlns:a16="http://schemas.microsoft.com/office/drawing/2014/main" id="{00000000-0008-0000-0800-0000D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2" name="Text Box 164">
          <a:extLst>
            <a:ext uri="{FF2B5EF4-FFF2-40B4-BE49-F238E27FC236}">
              <a16:creationId xmlns:a16="http://schemas.microsoft.com/office/drawing/2014/main" id="{00000000-0008-0000-0800-0000D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3" name="Text Box 165">
          <a:extLst>
            <a:ext uri="{FF2B5EF4-FFF2-40B4-BE49-F238E27FC236}">
              <a16:creationId xmlns:a16="http://schemas.microsoft.com/office/drawing/2014/main" id="{00000000-0008-0000-0800-0000D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4" name="Text Box 166">
          <a:extLst>
            <a:ext uri="{FF2B5EF4-FFF2-40B4-BE49-F238E27FC236}">
              <a16:creationId xmlns:a16="http://schemas.microsoft.com/office/drawing/2014/main" id="{00000000-0008-0000-0800-0000E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5" name="Text Box 167">
          <a:extLst>
            <a:ext uri="{FF2B5EF4-FFF2-40B4-BE49-F238E27FC236}">
              <a16:creationId xmlns:a16="http://schemas.microsoft.com/office/drawing/2014/main" id="{00000000-0008-0000-0800-0000E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6" name="Text Box 168">
          <a:extLst>
            <a:ext uri="{FF2B5EF4-FFF2-40B4-BE49-F238E27FC236}">
              <a16:creationId xmlns:a16="http://schemas.microsoft.com/office/drawing/2014/main" id="{00000000-0008-0000-0800-0000E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7" name="Text Box 169">
          <a:extLst>
            <a:ext uri="{FF2B5EF4-FFF2-40B4-BE49-F238E27FC236}">
              <a16:creationId xmlns:a16="http://schemas.microsoft.com/office/drawing/2014/main" id="{00000000-0008-0000-0800-0000E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8" name="Text Box 170">
          <a:extLst>
            <a:ext uri="{FF2B5EF4-FFF2-40B4-BE49-F238E27FC236}">
              <a16:creationId xmlns:a16="http://schemas.microsoft.com/office/drawing/2014/main" id="{00000000-0008-0000-0800-0000E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9" name="Text Box 171">
          <a:extLst>
            <a:ext uri="{FF2B5EF4-FFF2-40B4-BE49-F238E27FC236}">
              <a16:creationId xmlns:a16="http://schemas.microsoft.com/office/drawing/2014/main" id="{00000000-0008-0000-0800-0000E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0" name="Text Box 172">
          <a:extLst>
            <a:ext uri="{FF2B5EF4-FFF2-40B4-BE49-F238E27FC236}">
              <a16:creationId xmlns:a16="http://schemas.microsoft.com/office/drawing/2014/main" id="{00000000-0008-0000-0800-0000E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1" name="Text Box 173">
          <a:extLst>
            <a:ext uri="{FF2B5EF4-FFF2-40B4-BE49-F238E27FC236}">
              <a16:creationId xmlns:a16="http://schemas.microsoft.com/office/drawing/2014/main" id="{00000000-0008-0000-0800-0000E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2" name="Text Box 174">
          <a:extLst>
            <a:ext uri="{FF2B5EF4-FFF2-40B4-BE49-F238E27FC236}">
              <a16:creationId xmlns:a16="http://schemas.microsoft.com/office/drawing/2014/main" id="{00000000-0008-0000-0800-0000E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3" name="Text Box 175">
          <a:extLst>
            <a:ext uri="{FF2B5EF4-FFF2-40B4-BE49-F238E27FC236}">
              <a16:creationId xmlns:a16="http://schemas.microsoft.com/office/drawing/2014/main" id="{00000000-0008-0000-0800-0000E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4" name="Text Box 176">
          <a:extLst>
            <a:ext uri="{FF2B5EF4-FFF2-40B4-BE49-F238E27FC236}">
              <a16:creationId xmlns:a16="http://schemas.microsoft.com/office/drawing/2014/main" id="{00000000-0008-0000-0800-0000E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5" name="Text Box 177">
          <a:extLst>
            <a:ext uri="{FF2B5EF4-FFF2-40B4-BE49-F238E27FC236}">
              <a16:creationId xmlns:a16="http://schemas.microsoft.com/office/drawing/2014/main" id="{00000000-0008-0000-0800-0000E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6" name="Text Box 178">
          <a:extLst>
            <a:ext uri="{FF2B5EF4-FFF2-40B4-BE49-F238E27FC236}">
              <a16:creationId xmlns:a16="http://schemas.microsoft.com/office/drawing/2014/main" id="{00000000-0008-0000-0800-0000E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7" name="Text Box 179">
          <a:extLst>
            <a:ext uri="{FF2B5EF4-FFF2-40B4-BE49-F238E27FC236}">
              <a16:creationId xmlns:a16="http://schemas.microsoft.com/office/drawing/2014/main" id="{00000000-0008-0000-0800-0000E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8" name="Text Box 180">
          <a:extLst>
            <a:ext uri="{FF2B5EF4-FFF2-40B4-BE49-F238E27FC236}">
              <a16:creationId xmlns:a16="http://schemas.microsoft.com/office/drawing/2014/main" id="{00000000-0008-0000-0800-0000E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9" name="Text Box 181">
          <a:extLst>
            <a:ext uri="{FF2B5EF4-FFF2-40B4-BE49-F238E27FC236}">
              <a16:creationId xmlns:a16="http://schemas.microsoft.com/office/drawing/2014/main" id="{00000000-0008-0000-0800-0000E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0" name="Text Box 182">
          <a:extLst>
            <a:ext uri="{FF2B5EF4-FFF2-40B4-BE49-F238E27FC236}">
              <a16:creationId xmlns:a16="http://schemas.microsoft.com/office/drawing/2014/main" id="{00000000-0008-0000-0800-0000F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1" name="Text Box 183">
          <a:extLst>
            <a:ext uri="{FF2B5EF4-FFF2-40B4-BE49-F238E27FC236}">
              <a16:creationId xmlns:a16="http://schemas.microsoft.com/office/drawing/2014/main" id="{00000000-0008-0000-0800-0000F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2" name="Text Box 184">
          <a:extLst>
            <a:ext uri="{FF2B5EF4-FFF2-40B4-BE49-F238E27FC236}">
              <a16:creationId xmlns:a16="http://schemas.microsoft.com/office/drawing/2014/main" id="{00000000-0008-0000-0800-0000F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3" name="Text Box 185">
          <a:extLst>
            <a:ext uri="{FF2B5EF4-FFF2-40B4-BE49-F238E27FC236}">
              <a16:creationId xmlns:a16="http://schemas.microsoft.com/office/drawing/2014/main" id="{00000000-0008-0000-0800-0000F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4" name="Text Box 186">
          <a:extLst>
            <a:ext uri="{FF2B5EF4-FFF2-40B4-BE49-F238E27FC236}">
              <a16:creationId xmlns:a16="http://schemas.microsoft.com/office/drawing/2014/main" id="{00000000-0008-0000-0800-0000F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5" name="Text Box 187">
          <a:extLst>
            <a:ext uri="{FF2B5EF4-FFF2-40B4-BE49-F238E27FC236}">
              <a16:creationId xmlns:a16="http://schemas.microsoft.com/office/drawing/2014/main" id="{00000000-0008-0000-0800-0000F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6" name="Text Box 188">
          <a:extLst>
            <a:ext uri="{FF2B5EF4-FFF2-40B4-BE49-F238E27FC236}">
              <a16:creationId xmlns:a16="http://schemas.microsoft.com/office/drawing/2014/main" id="{00000000-0008-0000-0800-0000F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7" name="Text Box 189">
          <a:extLst>
            <a:ext uri="{FF2B5EF4-FFF2-40B4-BE49-F238E27FC236}">
              <a16:creationId xmlns:a16="http://schemas.microsoft.com/office/drawing/2014/main" id="{00000000-0008-0000-0800-0000F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8" name="Text Box 190">
          <a:extLst>
            <a:ext uri="{FF2B5EF4-FFF2-40B4-BE49-F238E27FC236}">
              <a16:creationId xmlns:a16="http://schemas.microsoft.com/office/drawing/2014/main" id="{00000000-0008-0000-0800-0000F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9" name="Text Box 191">
          <a:extLst>
            <a:ext uri="{FF2B5EF4-FFF2-40B4-BE49-F238E27FC236}">
              <a16:creationId xmlns:a16="http://schemas.microsoft.com/office/drawing/2014/main" id="{00000000-0008-0000-0800-0000F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0" name="Text Box 192">
          <a:extLst>
            <a:ext uri="{FF2B5EF4-FFF2-40B4-BE49-F238E27FC236}">
              <a16:creationId xmlns:a16="http://schemas.microsoft.com/office/drawing/2014/main" id="{00000000-0008-0000-0800-0000F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1" name="Text Box 193">
          <a:extLst>
            <a:ext uri="{FF2B5EF4-FFF2-40B4-BE49-F238E27FC236}">
              <a16:creationId xmlns:a16="http://schemas.microsoft.com/office/drawing/2014/main" id="{00000000-0008-0000-0800-0000F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2" name="Text Box 194">
          <a:extLst>
            <a:ext uri="{FF2B5EF4-FFF2-40B4-BE49-F238E27FC236}">
              <a16:creationId xmlns:a16="http://schemas.microsoft.com/office/drawing/2014/main" id="{00000000-0008-0000-0800-0000F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3" name="Text Box 195">
          <a:extLst>
            <a:ext uri="{FF2B5EF4-FFF2-40B4-BE49-F238E27FC236}">
              <a16:creationId xmlns:a16="http://schemas.microsoft.com/office/drawing/2014/main" id="{00000000-0008-0000-0800-0000F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4" name="Text Box 196">
          <a:extLst>
            <a:ext uri="{FF2B5EF4-FFF2-40B4-BE49-F238E27FC236}">
              <a16:creationId xmlns:a16="http://schemas.microsoft.com/office/drawing/2014/main" id="{00000000-0008-0000-0800-0000F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5" name="Text Box 197">
          <a:extLst>
            <a:ext uri="{FF2B5EF4-FFF2-40B4-BE49-F238E27FC236}">
              <a16:creationId xmlns:a16="http://schemas.microsoft.com/office/drawing/2014/main" id="{00000000-0008-0000-0800-0000F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6" name="Text Box 198">
          <a:extLst>
            <a:ext uri="{FF2B5EF4-FFF2-40B4-BE49-F238E27FC236}">
              <a16:creationId xmlns:a16="http://schemas.microsoft.com/office/drawing/2014/main" id="{00000000-0008-0000-0800-00000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7" name="Text Box 199">
          <a:extLst>
            <a:ext uri="{FF2B5EF4-FFF2-40B4-BE49-F238E27FC236}">
              <a16:creationId xmlns:a16="http://schemas.microsoft.com/office/drawing/2014/main" id="{00000000-0008-0000-0800-00000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8" name="Text Box 200">
          <a:extLst>
            <a:ext uri="{FF2B5EF4-FFF2-40B4-BE49-F238E27FC236}">
              <a16:creationId xmlns:a16="http://schemas.microsoft.com/office/drawing/2014/main" id="{00000000-0008-0000-0800-00000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9" name="Text Box 201">
          <a:extLst>
            <a:ext uri="{FF2B5EF4-FFF2-40B4-BE49-F238E27FC236}">
              <a16:creationId xmlns:a16="http://schemas.microsoft.com/office/drawing/2014/main" id="{00000000-0008-0000-0800-00000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00" name="Text Box 202">
          <a:extLst>
            <a:ext uri="{FF2B5EF4-FFF2-40B4-BE49-F238E27FC236}">
              <a16:creationId xmlns:a16="http://schemas.microsoft.com/office/drawing/2014/main" id="{00000000-0008-0000-0800-00000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1" name="Text Box 203">
          <a:extLst>
            <a:ext uri="{FF2B5EF4-FFF2-40B4-BE49-F238E27FC236}">
              <a16:creationId xmlns:a16="http://schemas.microsoft.com/office/drawing/2014/main" id="{00000000-0008-0000-0800-00000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2" name="Text Box 204">
          <a:extLst>
            <a:ext uri="{FF2B5EF4-FFF2-40B4-BE49-F238E27FC236}">
              <a16:creationId xmlns:a16="http://schemas.microsoft.com/office/drawing/2014/main" id="{00000000-0008-0000-0800-00000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3" name="Text Box 205">
          <a:extLst>
            <a:ext uri="{FF2B5EF4-FFF2-40B4-BE49-F238E27FC236}">
              <a16:creationId xmlns:a16="http://schemas.microsoft.com/office/drawing/2014/main" id="{00000000-0008-0000-0800-00000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4" name="Text Box 206">
          <a:extLst>
            <a:ext uri="{FF2B5EF4-FFF2-40B4-BE49-F238E27FC236}">
              <a16:creationId xmlns:a16="http://schemas.microsoft.com/office/drawing/2014/main" id="{00000000-0008-0000-0800-00000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5" name="Text Box 207">
          <a:extLst>
            <a:ext uri="{FF2B5EF4-FFF2-40B4-BE49-F238E27FC236}">
              <a16:creationId xmlns:a16="http://schemas.microsoft.com/office/drawing/2014/main" id="{00000000-0008-0000-0800-00000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6" name="Text Box 208">
          <a:extLst>
            <a:ext uri="{FF2B5EF4-FFF2-40B4-BE49-F238E27FC236}">
              <a16:creationId xmlns:a16="http://schemas.microsoft.com/office/drawing/2014/main" id="{00000000-0008-0000-0800-00000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7" name="Text Box 209">
          <a:extLst>
            <a:ext uri="{FF2B5EF4-FFF2-40B4-BE49-F238E27FC236}">
              <a16:creationId xmlns:a16="http://schemas.microsoft.com/office/drawing/2014/main" id="{00000000-0008-0000-0800-00000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8" name="Text Box 210">
          <a:extLst>
            <a:ext uri="{FF2B5EF4-FFF2-40B4-BE49-F238E27FC236}">
              <a16:creationId xmlns:a16="http://schemas.microsoft.com/office/drawing/2014/main" id="{00000000-0008-0000-0800-00000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9" name="Text Box 211">
          <a:extLst>
            <a:ext uri="{FF2B5EF4-FFF2-40B4-BE49-F238E27FC236}">
              <a16:creationId xmlns:a16="http://schemas.microsoft.com/office/drawing/2014/main" id="{00000000-0008-0000-0800-00000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0" name="Text Box 212">
          <a:extLst>
            <a:ext uri="{FF2B5EF4-FFF2-40B4-BE49-F238E27FC236}">
              <a16:creationId xmlns:a16="http://schemas.microsoft.com/office/drawing/2014/main" id="{00000000-0008-0000-0800-00000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1" name="Text Box 213">
          <a:extLst>
            <a:ext uri="{FF2B5EF4-FFF2-40B4-BE49-F238E27FC236}">
              <a16:creationId xmlns:a16="http://schemas.microsoft.com/office/drawing/2014/main" id="{00000000-0008-0000-0800-00000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2" name="Text Box 214">
          <a:extLst>
            <a:ext uri="{FF2B5EF4-FFF2-40B4-BE49-F238E27FC236}">
              <a16:creationId xmlns:a16="http://schemas.microsoft.com/office/drawing/2014/main" id="{00000000-0008-0000-0800-00001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3" name="Text Box 215">
          <a:extLst>
            <a:ext uri="{FF2B5EF4-FFF2-40B4-BE49-F238E27FC236}">
              <a16:creationId xmlns:a16="http://schemas.microsoft.com/office/drawing/2014/main" id="{00000000-0008-0000-0800-00001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4" name="Text Box 216">
          <a:extLst>
            <a:ext uri="{FF2B5EF4-FFF2-40B4-BE49-F238E27FC236}">
              <a16:creationId xmlns:a16="http://schemas.microsoft.com/office/drawing/2014/main" id="{00000000-0008-0000-0800-00001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5" name="Text Box 217">
          <a:extLst>
            <a:ext uri="{FF2B5EF4-FFF2-40B4-BE49-F238E27FC236}">
              <a16:creationId xmlns:a16="http://schemas.microsoft.com/office/drawing/2014/main" id="{00000000-0008-0000-0800-00001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6" name="Text Box 218">
          <a:extLst>
            <a:ext uri="{FF2B5EF4-FFF2-40B4-BE49-F238E27FC236}">
              <a16:creationId xmlns:a16="http://schemas.microsoft.com/office/drawing/2014/main" id="{00000000-0008-0000-0800-00001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7" name="Text Box 219">
          <a:extLst>
            <a:ext uri="{FF2B5EF4-FFF2-40B4-BE49-F238E27FC236}">
              <a16:creationId xmlns:a16="http://schemas.microsoft.com/office/drawing/2014/main" id="{00000000-0008-0000-0800-00001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8" name="Text Box 220">
          <a:extLst>
            <a:ext uri="{FF2B5EF4-FFF2-40B4-BE49-F238E27FC236}">
              <a16:creationId xmlns:a16="http://schemas.microsoft.com/office/drawing/2014/main" id="{00000000-0008-0000-0800-00001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9" name="Text Box 221">
          <a:extLst>
            <a:ext uri="{FF2B5EF4-FFF2-40B4-BE49-F238E27FC236}">
              <a16:creationId xmlns:a16="http://schemas.microsoft.com/office/drawing/2014/main" id="{00000000-0008-0000-0800-00001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0" name="Text Box 222">
          <a:extLst>
            <a:ext uri="{FF2B5EF4-FFF2-40B4-BE49-F238E27FC236}">
              <a16:creationId xmlns:a16="http://schemas.microsoft.com/office/drawing/2014/main" id="{00000000-0008-0000-0800-00001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1" name="Text Box 223">
          <a:extLst>
            <a:ext uri="{FF2B5EF4-FFF2-40B4-BE49-F238E27FC236}">
              <a16:creationId xmlns:a16="http://schemas.microsoft.com/office/drawing/2014/main" id="{00000000-0008-0000-0800-00001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2" name="Text Box 224">
          <a:extLst>
            <a:ext uri="{FF2B5EF4-FFF2-40B4-BE49-F238E27FC236}">
              <a16:creationId xmlns:a16="http://schemas.microsoft.com/office/drawing/2014/main" id="{00000000-0008-0000-0800-00001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3" name="Text Box 225">
          <a:extLst>
            <a:ext uri="{FF2B5EF4-FFF2-40B4-BE49-F238E27FC236}">
              <a16:creationId xmlns:a16="http://schemas.microsoft.com/office/drawing/2014/main" id="{00000000-0008-0000-0800-00001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4" name="Text Box 226">
          <a:extLst>
            <a:ext uri="{FF2B5EF4-FFF2-40B4-BE49-F238E27FC236}">
              <a16:creationId xmlns:a16="http://schemas.microsoft.com/office/drawing/2014/main" id="{00000000-0008-0000-0800-00001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5" name="Text Box 227">
          <a:extLst>
            <a:ext uri="{FF2B5EF4-FFF2-40B4-BE49-F238E27FC236}">
              <a16:creationId xmlns:a16="http://schemas.microsoft.com/office/drawing/2014/main" id="{00000000-0008-0000-0800-00001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6" name="Text Box 228">
          <a:extLst>
            <a:ext uri="{FF2B5EF4-FFF2-40B4-BE49-F238E27FC236}">
              <a16:creationId xmlns:a16="http://schemas.microsoft.com/office/drawing/2014/main" id="{00000000-0008-0000-0800-00001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7" name="Text Box 229">
          <a:extLst>
            <a:ext uri="{FF2B5EF4-FFF2-40B4-BE49-F238E27FC236}">
              <a16:creationId xmlns:a16="http://schemas.microsoft.com/office/drawing/2014/main" id="{00000000-0008-0000-0800-00001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8" name="Text Box 230">
          <a:extLst>
            <a:ext uri="{FF2B5EF4-FFF2-40B4-BE49-F238E27FC236}">
              <a16:creationId xmlns:a16="http://schemas.microsoft.com/office/drawing/2014/main" id="{00000000-0008-0000-0800-00002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9" name="Text Box 231">
          <a:extLst>
            <a:ext uri="{FF2B5EF4-FFF2-40B4-BE49-F238E27FC236}">
              <a16:creationId xmlns:a16="http://schemas.microsoft.com/office/drawing/2014/main" id="{00000000-0008-0000-0800-00002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0" name="Text Box 232">
          <a:extLst>
            <a:ext uri="{FF2B5EF4-FFF2-40B4-BE49-F238E27FC236}">
              <a16:creationId xmlns:a16="http://schemas.microsoft.com/office/drawing/2014/main" id="{00000000-0008-0000-0800-00002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1" name="Text Box 233">
          <a:extLst>
            <a:ext uri="{FF2B5EF4-FFF2-40B4-BE49-F238E27FC236}">
              <a16:creationId xmlns:a16="http://schemas.microsoft.com/office/drawing/2014/main" id="{00000000-0008-0000-0800-00002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2" name="Text Box 234">
          <a:extLst>
            <a:ext uri="{FF2B5EF4-FFF2-40B4-BE49-F238E27FC236}">
              <a16:creationId xmlns:a16="http://schemas.microsoft.com/office/drawing/2014/main" id="{00000000-0008-0000-0800-00002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3" name="Text Box 235">
          <a:extLst>
            <a:ext uri="{FF2B5EF4-FFF2-40B4-BE49-F238E27FC236}">
              <a16:creationId xmlns:a16="http://schemas.microsoft.com/office/drawing/2014/main" id="{00000000-0008-0000-0800-00002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4" name="Text Box 236">
          <a:extLst>
            <a:ext uri="{FF2B5EF4-FFF2-40B4-BE49-F238E27FC236}">
              <a16:creationId xmlns:a16="http://schemas.microsoft.com/office/drawing/2014/main" id="{00000000-0008-0000-0800-00002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5" name="Text Box 237">
          <a:extLst>
            <a:ext uri="{FF2B5EF4-FFF2-40B4-BE49-F238E27FC236}">
              <a16:creationId xmlns:a16="http://schemas.microsoft.com/office/drawing/2014/main" id="{00000000-0008-0000-0800-00002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6" name="Text Box 238">
          <a:extLst>
            <a:ext uri="{FF2B5EF4-FFF2-40B4-BE49-F238E27FC236}">
              <a16:creationId xmlns:a16="http://schemas.microsoft.com/office/drawing/2014/main" id="{00000000-0008-0000-0800-00002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7" name="Text Box 239">
          <a:extLst>
            <a:ext uri="{FF2B5EF4-FFF2-40B4-BE49-F238E27FC236}">
              <a16:creationId xmlns:a16="http://schemas.microsoft.com/office/drawing/2014/main" id="{00000000-0008-0000-0800-00002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8" name="Text Box 240">
          <a:extLst>
            <a:ext uri="{FF2B5EF4-FFF2-40B4-BE49-F238E27FC236}">
              <a16:creationId xmlns:a16="http://schemas.microsoft.com/office/drawing/2014/main" id="{00000000-0008-0000-0800-00002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9" name="Text Box 241">
          <a:extLst>
            <a:ext uri="{FF2B5EF4-FFF2-40B4-BE49-F238E27FC236}">
              <a16:creationId xmlns:a16="http://schemas.microsoft.com/office/drawing/2014/main" id="{00000000-0008-0000-0800-00002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0" name="Text Box 242">
          <a:extLst>
            <a:ext uri="{FF2B5EF4-FFF2-40B4-BE49-F238E27FC236}">
              <a16:creationId xmlns:a16="http://schemas.microsoft.com/office/drawing/2014/main" id="{00000000-0008-0000-0800-00002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1" name="Text Box 243">
          <a:extLst>
            <a:ext uri="{FF2B5EF4-FFF2-40B4-BE49-F238E27FC236}">
              <a16:creationId xmlns:a16="http://schemas.microsoft.com/office/drawing/2014/main" id="{00000000-0008-0000-0800-00002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2" name="Text Box 244">
          <a:extLst>
            <a:ext uri="{FF2B5EF4-FFF2-40B4-BE49-F238E27FC236}">
              <a16:creationId xmlns:a16="http://schemas.microsoft.com/office/drawing/2014/main" id="{00000000-0008-0000-0800-00002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3" name="Text Box 245">
          <a:extLst>
            <a:ext uri="{FF2B5EF4-FFF2-40B4-BE49-F238E27FC236}">
              <a16:creationId xmlns:a16="http://schemas.microsoft.com/office/drawing/2014/main" id="{00000000-0008-0000-0800-00002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4" name="Text Box 246">
          <a:extLst>
            <a:ext uri="{FF2B5EF4-FFF2-40B4-BE49-F238E27FC236}">
              <a16:creationId xmlns:a16="http://schemas.microsoft.com/office/drawing/2014/main" id="{00000000-0008-0000-0800-00003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5" name="Text Box 247">
          <a:extLst>
            <a:ext uri="{FF2B5EF4-FFF2-40B4-BE49-F238E27FC236}">
              <a16:creationId xmlns:a16="http://schemas.microsoft.com/office/drawing/2014/main" id="{00000000-0008-0000-0800-00003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6" name="Text Box 248">
          <a:extLst>
            <a:ext uri="{FF2B5EF4-FFF2-40B4-BE49-F238E27FC236}">
              <a16:creationId xmlns:a16="http://schemas.microsoft.com/office/drawing/2014/main" id="{00000000-0008-0000-0800-00003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7" name="Text Box 249">
          <a:extLst>
            <a:ext uri="{FF2B5EF4-FFF2-40B4-BE49-F238E27FC236}">
              <a16:creationId xmlns:a16="http://schemas.microsoft.com/office/drawing/2014/main" id="{00000000-0008-0000-0800-00003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8" name="Text Box 250">
          <a:extLst>
            <a:ext uri="{FF2B5EF4-FFF2-40B4-BE49-F238E27FC236}">
              <a16:creationId xmlns:a16="http://schemas.microsoft.com/office/drawing/2014/main" id="{00000000-0008-0000-0800-00003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9" name="Text Box 251">
          <a:extLst>
            <a:ext uri="{FF2B5EF4-FFF2-40B4-BE49-F238E27FC236}">
              <a16:creationId xmlns:a16="http://schemas.microsoft.com/office/drawing/2014/main" id="{00000000-0008-0000-0800-00003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0" name="Text Box 252">
          <a:extLst>
            <a:ext uri="{FF2B5EF4-FFF2-40B4-BE49-F238E27FC236}">
              <a16:creationId xmlns:a16="http://schemas.microsoft.com/office/drawing/2014/main" id="{00000000-0008-0000-0800-00003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1" name="Text Box 253">
          <a:extLst>
            <a:ext uri="{FF2B5EF4-FFF2-40B4-BE49-F238E27FC236}">
              <a16:creationId xmlns:a16="http://schemas.microsoft.com/office/drawing/2014/main" id="{00000000-0008-0000-0800-00003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2" name="Text Box 254">
          <a:extLst>
            <a:ext uri="{FF2B5EF4-FFF2-40B4-BE49-F238E27FC236}">
              <a16:creationId xmlns:a16="http://schemas.microsoft.com/office/drawing/2014/main" id="{00000000-0008-0000-0800-00003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3" name="Text Box 255">
          <a:extLst>
            <a:ext uri="{FF2B5EF4-FFF2-40B4-BE49-F238E27FC236}">
              <a16:creationId xmlns:a16="http://schemas.microsoft.com/office/drawing/2014/main" id="{00000000-0008-0000-0800-00003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4" name="Text Box 256">
          <a:extLst>
            <a:ext uri="{FF2B5EF4-FFF2-40B4-BE49-F238E27FC236}">
              <a16:creationId xmlns:a16="http://schemas.microsoft.com/office/drawing/2014/main" id="{00000000-0008-0000-0800-00003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5" name="Text Box 257">
          <a:extLst>
            <a:ext uri="{FF2B5EF4-FFF2-40B4-BE49-F238E27FC236}">
              <a16:creationId xmlns:a16="http://schemas.microsoft.com/office/drawing/2014/main" id="{00000000-0008-0000-0800-00003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6" name="Text Box 258">
          <a:extLst>
            <a:ext uri="{FF2B5EF4-FFF2-40B4-BE49-F238E27FC236}">
              <a16:creationId xmlns:a16="http://schemas.microsoft.com/office/drawing/2014/main" id="{00000000-0008-0000-0800-00003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7" name="Text Box 259">
          <a:extLst>
            <a:ext uri="{FF2B5EF4-FFF2-40B4-BE49-F238E27FC236}">
              <a16:creationId xmlns:a16="http://schemas.microsoft.com/office/drawing/2014/main" id="{00000000-0008-0000-0800-00003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8" name="Text Box 260">
          <a:extLst>
            <a:ext uri="{FF2B5EF4-FFF2-40B4-BE49-F238E27FC236}">
              <a16:creationId xmlns:a16="http://schemas.microsoft.com/office/drawing/2014/main" id="{00000000-0008-0000-0800-00003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9" name="Text Box 261">
          <a:extLst>
            <a:ext uri="{FF2B5EF4-FFF2-40B4-BE49-F238E27FC236}">
              <a16:creationId xmlns:a16="http://schemas.microsoft.com/office/drawing/2014/main" id="{00000000-0008-0000-0800-00003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0" name="Text Box 262">
          <a:extLst>
            <a:ext uri="{FF2B5EF4-FFF2-40B4-BE49-F238E27FC236}">
              <a16:creationId xmlns:a16="http://schemas.microsoft.com/office/drawing/2014/main" id="{00000000-0008-0000-0800-00004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1" name="Text Box 263">
          <a:extLst>
            <a:ext uri="{FF2B5EF4-FFF2-40B4-BE49-F238E27FC236}">
              <a16:creationId xmlns:a16="http://schemas.microsoft.com/office/drawing/2014/main" id="{00000000-0008-0000-0800-00004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2" name="Text Box 264">
          <a:extLst>
            <a:ext uri="{FF2B5EF4-FFF2-40B4-BE49-F238E27FC236}">
              <a16:creationId xmlns:a16="http://schemas.microsoft.com/office/drawing/2014/main" id="{00000000-0008-0000-0800-00004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3" name="Text Box 265">
          <a:extLst>
            <a:ext uri="{FF2B5EF4-FFF2-40B4-BE49-F238E27FC236}">
              <a16:creationId xmlns:a16="http://schemas.microsoft.com/office/drawing/2014/main" id="{00000000-0008-0000-0800-00004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4" name="Text Box 266">
          <a:extLst>
            <a:ext uri="{FF2B5EF4-FFF2-40B4-BE49-F238E27FC236}">
              <a16:creationId xmlns:a16="http://schemas.microsoft.com/office/drawing/2014/main" id="{00000000-0008-0000-0800-00004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5" name="Text Box 267">
          <a:extLst>
            <a:ext uri="{FF2B5EF4-FFF2-40B4-BE49-F238E27FC236}">
              <a16:creationId xmlns:a16="http://schemas.microsoft.com/office/drawing/2014/main" id="{00000000-0008-0000-0800-00004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6" name="Text Box 268">
          <a:extLst>
            <a:ext uri="{FF2B5EF4-FFF2-40B4-BE49-F238E27FC236}">
              <a16:creationId xmlns:a16="http://schemas.microsoft.com/office/drawing/2014/main" id="{00000000-0008-0000-0800-00004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7" name="Text Box 269">
          <a:extLst>
            <a:ext uri="{FF2B5EF4-FFF2-40B4-BE49-F238E27FC236}">
              <a16:creationId xmlns:a16="http://schemas.microsoft.com/office/drawing/2014/main" id="{00000000-0008-0000-0800-00004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8" name="Text Box 270">
          <a:extLst>
            <a:ext uri="{FF2B5EF4-FFF2-40B4-BE49-F238E27FC236}">
              <a16:creationId xmlns:a16="http://schemas.microsoft.com/office/drawing/2014/main" id="{00000000-0008-0000-0800-00004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9" name="Text Box 271">
          <a:extLst>
            <a:ext uri="{FF2B5EF4-FFF2-40B4-BE49-F238E27FC236}">
              <a16:creationId xmlns:a16="http://schemas.microsoft.com/office/drawing/2014/main" id="{00000000-0008-0000-0800-00004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0" name="Text Box 272">
          <a:extLst>
            <a:ext uri="{FF2B5EF4-FFF2-40B4-BE49-F238E27FC236}">
              <a16:creationId xmlns:a16="http://schemas.microsoft.com/office/drawing/2014/main" id="{00000000-0008-0000-0800-00004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1" name="Text Box 273">
          <a:extLst>
            <a:ext uri="{FF2B5EF4-FFF2-40B4-BE49-F238E27FC236}">
              <a16:creationId xmlns:a16="http://schemas.microsoft.com/office/drawing/2014/main" id="{00000000-0008-0000-0800-00004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2" name="Text Box 274">
          <a:extLst>
            <a:ext uri="{FF2B5EF4-FFF2-40B4-BE49-F238E27FC236}">
              <a16:creationId xmlns:a16="http://schemas.microsoft.com/office/drawing/2014/main" id="{00000000-0008-0000-0800-00004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3" name="Text Box 275">
          <a:extLst>
            <a:ext uri="{FF2B5EF4-FFF2-40B4-BE49-F238E27FC236}">
              <a16:creationId xmlns:a16="http://schemas.microsoft.com/office/drawing/2014/main" id="{00000000-0008-0000-0800-00004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4" name="Text Box 276">
          <a:extLst>
            <a:ext uri="{FF2B5EF4-FFF2-40B4-BE49-F238E27FC236}">
              <a16:creationId xmlns:a16="http://schemas.microsoft.com/office/drawing/2014/main" id="{00000000-0008-0000-0800-00004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5" name="Text Box 277">
          <a:extLst>
            <a:ext uri="{FF2B5EF4-FFF2-40B4-BE49-F238E27FC236}">
              <a16:creationId xmlns:a16="http://schemas.microsoft.com/office/drawing/2014/main" id="{00000000-0008-0000-0800-00004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6" name="Text Box 278">
          <a:extLst>
            <a:ext uri="{FF2B5EF4-FFF2-40B4-BE49-F238E27FC236}">
              <a16:creationId xmlns:a16="http://schemas.microsoft.com/office/drawing/2014/main" id="{00000000-0008-0000-0800-00005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7" name="Text Box 279">
          <a:extLst>
            <a:ext uri="{FF2B5EF4-FFF2-40B4-BE49-F238E27FC236}">
              <a16:creationId xmlns:a16="http://schemas.microsoft.com/office/drawing/2014/main" id="{00000000-0008-0000-0800-00005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8" name="Text Box 280">
          <a:extLst>
            <a:ext uri="{FF2B5EF4-FFF2-40B4-BE49-F238E27FC236}">
              <a16:creationId xmlns:a16="http://schemas.microsoft.com/office/drawing/2014/main" id="{00000000-0008-0000-0800-00005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9" name="Text Box 281">
          <a:extLst>
            <a:ext uri="{FF2B5EF4-FFF2-40B4-BE49-F238E27FC236}">
              <a16:creationId xmlns:a16="http://schemas.microsoft.com/office/drawing/2014/main" id="{00000000-0008-0000-0800-00005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0" name="Text Box 282">
          <a:extLst>
            <a:ext uri="{FF2B5EF4-FFF2-40B4-BE49-F238E27FC236}">
              <a16:creationId xmlns:a16="http://schemas.microsoft.com/office/drawing/2014/main" id="{00000000-0008-0000-0800-00005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1" name="Text Box 283">
          <a:extLst>
            <a:ext uri="{FF2B5EF4-FFF2-40B4-BE49-F238E27FC236}">
              <a16:creationId xmlns:a16="http://schemas.microsoft.com/office/drawing/2014/main" id="{00000000-0008-0000-0800-00005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2" name="Text Box 284">
          <a:extLst>
            <a:ext uri="{FF2B5EF4-FFF2-40B4-BE49-F238E27FC236}">
              <a16:creationId xmlns:a16="http://schemas.microsoft.com/office/drawing/2014/main" id="{00000000-0008-0000-0800-00005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3" name="Text Box 285">
          <a:extLst>
            <a:ext uri="{FF2B5EF4-FFF2-40B4-BE49-F238E27FC236}">
              <a16:creationId xmlns:a16="http://schemas.microsoft.com/office/drawing/2014/main" id="{00000000-0008-0000-0800-00005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4" name="Text Box 286">
          <a:extLst>
            <a:ext uri="{FF2B5EF4-FFF2-40B4-BE49-F238E27FC236}">
              <a16:creationId xmlns:a16="http://schemas.microsoft.com/office/drawing/2014/main" id="{00000000-0008-0000-0800-00005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5" name="Text Box 287">
          <a:extLst>
            <a:ext uri="{FF2B5EF4-FFF2-40B4-BE49-F238E27FC236}">
              <a16:creationId xmlns:a16="http://schemas.microsoft.com/office/drawing/2014/main" id="{00000000-0008-0000-0800-00005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6" name="Text Box 288">
          <a:extLst>
            <a:ext uri="{FF2B5EF4-FFF2-40B4-BE49-F238E27FC236}">
              <a16:creationId xmlns:a16="http://schemas.microsoft.com/office/drawing/2014/main" id="{00000000-0008-0000-0800-00005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7" name="Text Box 289">
          <a:extLst>
            <a:ext uri="{FF2B5EF4-FFF2-40B4-BE49-F238E27FC236}">
              <a16:creationId xmlns:a16="http://schemas.microsoft.com/office/drawing/2014/main" id="{00000000-0008-0000-0800-00005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8" name="Text Box 290">
          <a:extLst>
            <a:ext uri="{FF2B5EF4-FFF2-40B4-BE49-F238E27FC236}">
              <a16:creationId xmlns:a16="http://schemas.microsoft.com/office/drawing/2014/main" id="{00000000-0008-0000-0800-00005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9" name="Text Box 291">
          <a:extLst>
            <a:ext uri="{FF2B5EF4-FFF2-40B4-BE49-F238E27FC236}">
              <a16:creationId xmlns:a16="http://schemas.microsoft.com/office/drawing/2014/main" id="{00000000-0008-0000-0800-00005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0" name="Text Box 292">
          <a:extLst>
            <a:ext uri="{FF2B5EF4-FFF2-40B4-BE49-F238E27FC236}">
              <a16:creationId xmlns:a16="http://schemas.microsoft.com/office/drawing/2014/main" id="{00000000-0008-0000-0800-00005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1" name="Text Box 293">
          <a:extLst>
            <a:ext uri="{FF2B5EF4-FFF2-40B4-BE49-F238E27FC236}">
              <a16:creationId xmlns:a16="http://schemas.microsoft.com/office/drawing/2014/main" id="{00000000-0008-0000-0800-00005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2" name="Text Box 294">
          <a:extLst>
            <a:ext uri="{FF2B5EF4-FFF2-40B4-BE49-F238E27FC236}">
              <a16:creationId xmlns:a16="http://schemas.microsoft.com/office/drawing/2014/main" id="{00000000-0008-0000-0800-00006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3" name="Text Box 295">
          <a:extLst>
            <a:ext uri="{FF2B5EF4-FFF2-40B4-BE49-F238E27FC236}">
              <a16:creationId xmlns:a16="http://schemas.microsoft.com/office/drawing/2014/main" id="{00000000-0008-0000-0800-00006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4" name="Text Box 296">
          <a:extLst>
            <a:ext uri="{FF2B5EF4-FFF2-40B4-BE49-F238E27FC236}">
              <a16:creationId xmlns:a16="http://schemas.microsoft.com/office/drawing/2014/main" id="{00000000-0008-0000-0800-00006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5" name="Text Box 297">
          <a:extLst>
            <a:ext uri="{FF2B5EF4-FFF2-40B4-BE49-F238E27FC236}">
              <a16:creationId xmlns:a16="http://schemas.microsoft.com/office/drawing/2014/main" id="{00000000-0008-0000-0800-00006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6" name="Text Box 298">
          <a:extLst>
            <a:ext uri="{FF2B5EF4-FFF2-40B4-BE49-F238E27FC236}">
              <a16:creationId xmlns:a16="http://schemas.microsoft.com/office/drawing/2014/main" id="{00000000-0008-0000-0800-00006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7" name="Text Box 299">
          <a:extLst>
            <a:ext uri="{FF2B5EF4-FFF2-40B4-BE49-F238E27FC236}">
              <a16:creationId xmlns:a16="http://schemas.microsoft.com/office/drawing/2014/main" id="{00000000-0008-0000-0800-00006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8" name="Text Box 300">
          <a:extLst>
            <a:ext uri="{FF2B5EF4-FFF2-40B4-BE49-F238E27FC236}">
              <a16:creationId xmlns:a16="http://schemas.microsoft.com/office/drawing/2014/main" id="{00000000-0008-0000-0800-00006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9" name="Text Box 301">
          <a:extLst>
            <a:ext uri="{FF2B5EF4-FFF2-40B4-BE49-F238E27FC236}">
              <a16:creationId xmlns:a16="http://schemas.microsoft.com/office/drawing/2014/main" id="{00000000-0008-0000-0800-00006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0" name="Text Box 302">
          <a:extLst>
            <a:ext uri="{FF2B5EF4-FFF2-40B4-BE49-F238E27FC236}">
              <a16:creationId xmlns:a16="http://schemas.microsoft.com/office/drawing/2014/main" id="{00000000-0008-0000-0800-00006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1" name="Text Box 303">
          <a:extLst>
            <a:ext uri="{FF2B5EF4-FFF2-40B4-BE49-F238E27FC236}">
              <a16:creationId xmlns:a16="http://schemas.microsoft.com/office/drawing/2014/main" id="{00000000-0008-0000-0800-00006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2" name="Text Box 304">
          <a:extLst>
            <a:ext uri="{FF2B5EF4-FFF2-40B4-BE49-F238E27FC236}">
              <a16:creationId xmlns:a16="http://schemas.microsoft.com/office/drawing/2014/main" id="{00000000-0008-0000-0800-00006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3" name="Text Box 305">
          <a:extLst>
            <a:ext uri="{FF2B5EF4-FFF2-40B4-BE49-F238E27FC236}">
              <a16:creationId xmlns:a16="http://schemas.microsoft.com/office/drawing/2014/main" id="{00000000-0008-0000-0800-00006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4" name="Text Box 306">
          <a:extLst>
            <a:ext uri="{FF2B5EF4-FFF2-40B4-BE49-F238E27FC236}">
              <a16:creationId xmlns:a16="http://schemas.microsoft.com/office/drawing/2014/main" id="{00000000-0008-0000-0800-00006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5" name="Text Box 307">
          <a:extLst>
            <a:ext uri="{FF2B5EF4-FFF2-40B4-BE49-F238E27FC236}">
              <a16:creationId xmlns:a16="http://schemas.microsoft.com/office/drawing/2014/main" id="{00000000-0008-0000-0800-00006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6" name="Text Box 308">
          <a:extLst>
            <a:ext uri="{FF2B5EF4-FFF2-40B4-BE49-F238E27FC236}">
              <a16:creationId xmlns:a16="http://schemas.microsoft.com/office/drawing/2014/main" id="{00000000-0008-0000-0800-00006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7" name="Text Box 309">
          <a:extLst>
            <a:ext uri="{FF2B5EF4-FFF2-40B4-BE49-F238E27FC236}">
              <a16:creationId xmlns:a16="http://schemas.microsoft.com/office/drawing/2014/main" id="{00000000-0008-0000-0800-00006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8" name="Text Box 310">
          <a:extLst>
            <a:ext uri="{FF2B5EF4-FFF2-40B4-BE49-F238E27FC236}">
              <a16:creationId xmlns:a16="http://schemas.microsoft.com/office/drawing/2014/main" id="{00000000-0008-0000-0800-00007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9" name="Text Box 311">
          <a:extLst>
            <a:ext uri="{FF2B5EF4-FFF2-40B4-BE49-F238E27FC236}">
              <a16:creationId xmlns:a16="http://schemas.microsoft.com/office/drawing/2014/main" id="{00000000-0008-0000-0800-00007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0" name="Text Box 312">
          <a:extLst>
            <a:ext uri="{FF2B5EF4-FFF2-40B4-BE49-F238E27FC236}">
              <a16:creationId xmlns:a16="http://schemas.microsoft.com/office/drawing/2014/main" id="{00000000-0008-0000-0800-00007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1" name="Text Box 313">
          <a:extLst>
            <a:ext uri="{FF2B5EF4-FFF2-40B4-BE49-F238E27FC236}">
              <a16:creationId xmlns:a16="http://schemas.microsoft.com/office/drawing/2014/main" id="{00000000-0008-0000-0800-00007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2" name="Text Box 314">
          <a:extLst>
            <a:ext uri="{FF2B5EF4-FFF2-40B4-BE49-F238E27FC236}">
              <a16:creationId xmlns:a16="http://schemas.microsoft.com/office/drawing/2014/main" id="{00000000-0008-0000-0800-00007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3" name="Text Box 315">
          <a:extLst>
            <a:ext uri="{FF2B5EF4-FFF2-40B4-BE49-F238E27FC236}">
              <a16:creationId xmlns:a16="http://schemas.microsoft.com/office/drawing/2014/main" id="{00000000-0008-0000-0800-00007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4" name="Text Box 316">
          <a:extLst>
            <a:ext uri="{FF2B5EF4-FFF2-40B4-BE49-F238E27FC236}">
              <a16:creationId xmlns:a16="http://schemas.microsoft.com/office/drawing/2014/main" id="{00000000-0008-0000-0800-00007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5" name="Text Box 317">
          <a:extLst>
            <a:ext uri="{FF2B5EF4-FFF2-40B4-BE49-F238E27FC236}">
              <a16:creationId xmlns:a16="http://schemas.microsoft.com/office/drawing/2014/main" id="{00000000-0008-0000-0800-00007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6" name="Text Box 318">
          <a:extLst>
            <a:ext uri="{FF2B5EF4-FFF2-40B4-BE49-F238E27FC236}">
              <a16:creationId xmlns:a16="http://schemas.microsoft.com/office/drawing/2014/main" id="{00000000-0008-0000-0800-00007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7" name="Text Box 319">
          <a:extLst>
            <a:ext uri="{FF2B5EF4-FFF2-40B4-BE49-F238E27FC236}">
              <a16:creationId xmlns:a16="http://schemas.microsoft.com/office/drawing/2014/main" id="{00000000-0008-0000-0800-00007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8" name="Text Box 320">
          <a:extLst>
            <a:ext uri="{FF2B5EF4-FFF2-40B4-BE49-F238E27FC236}">
              <a16:creationId xmlns:a16="http://schemas.microsoft.com/office/drawing/2014/main" id="{00000000-0008-0000-0800-00007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19" name="Text Box 28">
          <a:extLst>
            <a:ext uri="{FF2B5EF4-FFF2-40B4-BE49-F238E27FC236}">
              <a16:creationId xmlns:a16="http://schemas.microsoft.com/office/drawing/2014/main" id="{00000000-0008-0000-0800-00007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0" name="Text Box 29">
          <a:extLst>
            <a:ext uri="{FF2B5EF4-FFF2-40B4-BE49-F238E27FC236}">
              <a16:creationId xmlns:a16="http://schemas.microsoft.com/office/drawing/2014/main" id="{00000000-0008-0000-0800-00007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1" name="Text Box 30">
          <a:extLst>
            <a:ext uri="{FF2B5EF4-FFF2-40B4-BE49-F238E27FC236}">
              <a16:creationId xmlns:a16="http://schemas.microsoft.com/office/drawing/2014/main" id="{00000000-0008-0000-0800-00007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2" name="Text Box 31">
          <a:extLst>
            <a:ext uri="{FF2B5EF4-FFF2-40B4-BE49-F238E27FC236}">
              <a16:creationId xmlns:a16="http://schemas.microsoft.com/office/drawing/2014/main" id="{00000000-0008-0000-0800-00007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3" name="Text Box 32">
          <a:extLst>
            <a:ext uri="{FF2B5EF4-FFF2-40B4-BE49-F238E27FC236}">
              <a16:creationId xmlns:a16="http://schemas.microsoft.com/office/drawing/2014/main" id="{00000000-0008-0000-0800-00007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4" name="Text Box 33">
          <a:extLst>
            <a:ext uri="{FF2B5EF4-FFF2-40B4-BE49-F238E27FC236}">
              <a16:creationId xmlns:a16="http://schemas.microsoft.com/office/drawing/2014/main" id="{00000000-0008-0000-0800-00008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5" name="Text Box 34">
          <a:extLst>
            <a:ext uri="{FF2B5EF4-FFF2-40B4-BE49-F238E27FC236}">
              <a16:creationId xmlns:a16="http://schemas.microsoft.com/office/drawing/2014/main" id="{00000000-0008-0000-0800-00008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6" name="Text Box 35">
          <a:extLst>
            <a:ext uri="{FF2B5EF4-FFF2-40B4-BE49-F238E27FC236}">
              <a16:creationId xmlns:a16="http://schemas.microsoft.com/office/drawing/2014/main" id="{00000000-0008-0000-0800-00008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7" name="Text Box 36">
          <a:extLst>
            <a:ext uri="{FF2B5EF4-FFF2-40B4-BE49-F238E27FC236}">
              <a16:creationId xmlns:a16="http://schemas.microsoft.com/office/drawing/2014/main" id="{00000000-0008-0000-0800-00008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8" name="Text Box 37">
          <a:extLst>
            <a:ext uri="{FF2B5EF4-FFF2-40B4-BE49-F238E27FC236}">
              <a16:creationId xmlns:a16="http://schemas.microsoft.com/office/drawing/2014/main" id="{00000000-0008-0000-0800-00008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9" name="Text Box 38">
          <a:extLst>
            <a:ext uri="{FF2B5EF4-FFF2-40B4-BE49-F238E27FC236}">
              <a16:creationId xmlns:a16="http://schemas.microsoft.com/office/drawing/2014/main" id="{00000000-0008-0000-0800-00008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0" name="Text Box 39">
          <a:extLst>
            <a:ext uri="{FF2B5EF4-FFF2-40B4-BE49-F238E27FC236}">
              <a16:creationId xmlns:a16="http://schemas.microsoft.com/office/drawing/2014/main" id="{00000000-0008-0000-0800-00008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1" name="Text Box 40">
          <a:extLst>
            <a:ext uri="{FF2B5EF4-FFF2-40B4-BE49-F238E27FC236}">
              <a16:creationId xmlns:a16="http://schemas.microsoft.com/office/drawing/2014/main" id="{00000000-0008-0000-0800-00008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2" name="Text Box 41">
          <a:extLst>
            <a:ext uri="{FF2B5EF4-FFF2-40B4-BE49-F238E27FC236}">
              <a16:creationId xmlns:a16="http://schemas.microsoft.com/office/drawing/2014/main" id="{00000000-0008-0000-0800-00008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3" name="Text Box 42">
          <a:extLst>
            <a:ext uri="{FF2B5EF4-FFF2-40B4-BE49-F238E27FC236}">
              <a16:creationId xmlns:a16="http://schemas.microsoft.com/office/drawing/2014/main" id="{00000000-0008-0000-0800-00008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4" name="Text Box 43">
          <a:extLst>
            <a:ext uri="{FF2B5EF4-FFF2-40B4-BE49-F238E27FC236}">
              <a16:creationId xmlns:a16="http://schemas.microsoft.com/office/drawing/2014/main" id="{00000000-0008-0000-0800-00008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5" name="Text Box 44">
          <a:extLst>
            <a:ext uri="{FF2B5EF4-FFF2-40B4-BE49-F238E27FC236}">
              <a16:creationId xmlns:a16="http://schemas.microsoft.com/office/drawing/2014/main" id="{00000000-0008-0000-0800-00008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6" name="Text Box 45">
          <a:extLst>
            <a:ext uri="{FF2B5EF4-FFF2-40B4-BE49-F238E27FC236}">
              <a16:creationId xmlns:a16="http://schemas.microsoft.com/office/drawing/2014/main" id="{00000000-0008-0000-0800-00008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7" name="Text Box 46">
          <a:extLst>
            <a:ext uri="{FF2B5EF4-FFF2-40B4-BE49-F238E27FC236}">
              <a16:creationId xmlns:a16="http://schemas.microsoft.com/office/drawing/2014/main" id="{00000000-0008-0000-0800-00008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8" name="Text Box 47">
          <a:extLst>
            <a:ext uri="{FF2B5EF4-FFF2-40B4-BE49-F238E27FC236}">
              <a16:creationId xmlns:a16="http://schemas.microsoft.com/office/drawing/2014/main" id="{00000000-0008-0000-0800-00008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9" name="Text Box 48">
          <a:extLst>
            <a:ext uri="{FF2B5EF4-FFF2-40B4-BE49-F238E27FC236}">
              <a16:creationId xmlns:a16="http://schemas.microsoft.com/office/drawing/2014/main" id="{00000000-0008-0000-0800-00008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0" name="Text Box 49">
          <a:extLst>
            <a:ext uri="{FF2B5EF4-FFF2-40B4-BE49-F238E27FC236}">
              <a16:creationId xmlns:a16="http://schemas.microsoft.com/office/drawing/2014/main" id="{00000000-0008-0000-0800-00009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1" name="Text Box 50">
          <a:extLst>
            <a:ext uri="{FF2B5EF4-FFF2-40B4-BE49-F238E27FC236}">
              <a16:creationId xmlns:a16="http://schemas.microsoft.com/office/drawing/2014/main" id="{00000000-0008-0000-0800-00009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2" name="Text Box 51">
          <a:extLst>
            <a:ext uri="{FF2B5EF4-FFF2-40B4-BE49-F238E27FC236}">
              <a16:creationId xmlns:a16="http://schemas.microsoft.com/office/drawing/2014/main" id="{00000000-0008-0000-0800-00009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3" name="Text Box 52">
          <a:extLst>
            <a:ext uri="{FF2B5EF4-FFF2-40B4-BE49-F238E27FC236}">
              <a16:creationId xmlns:a16="http://schemas.microsoft.com/office/drawing/2014/main" id="{00000000-0008-0000-0800-00009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4" name="Text Box 53">
          <a:extLst>
            <a:ext uri="{FF2B5EF4-FFF2-40B4-BE49-F238E27FC236}">
              <a16:creationId xmlns:a16="http://schemas.microsoft.com/office/drawing/2014/main" id="{00000000-0008-0000-0800-00009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5" name="Text Box 54">
          <a:extLst>
            <a:ext uri="{FF2B5EF4-FFF2-40B4-BE49-F238E27FC236}">
              <a16:creationId xmlns:a16="http://schemas.microsoft.com/office/drawing/2014/main" id="{00000000-0008-0000-0800-00009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6" name="Text Box 55">
          <a:extLst>
            <a:ext uri="{FF2B5EF4-FFF2-40B4-BE49-F238E27FC236}">
              <a16:creationId xmlns:a16="http://schemas.microsoft.com/office/drawing/2014/main" id="{00000000-0008-0000-0800-00009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7" name="Text Box 56">
          <a:extLst>
            <a:ext uri="{FF2B5EF4-FFF2-40B4-BE49-F238E27FC236}">
              <a16:creationId xmlns:a16="http://schemas.microsoft.com/office/drawing/2014/main" id="{00000000-0008-0000-0800-00009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8" name="Text Box 57">
          <a:extLst>
            <a:ext uri="{FF2B5EF4-FFF2-40B4-BE49-F238E27FC236}">
              <a16:creationId xmlns:a16="http://schemas.microsoft.com/office/drawing/2014/main" id="{00000000-0008-0000-0800-00009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9" name="Text Box 58">
          <a:extLst>
            <a:ext uri="{FF2B5EF4-FFF2-40B4-BE49-F238E27FC236}">
              <a16:creationId xmlns:a16="http://schemas.microsoft.com/office/drawing/2014/main" id="{00000000-0008-0000-0800-00009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0" name="Text Box 59">
          <a:extLst>
            <a:ext uri="{FF2B5EF4-FFF2-40B4-BE49-F238E27FC236}">
              <a16:creationId xmlns:a16="http://schemas.microsoft.com/office/drawing/2014/main" id="{00000000-0008-0000-0800-00009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1" name="Text Box 60">
          <a:extLst>
            <a:ext uri="{FF2B5EF4-FFF2-40B4-BE49-F238E27FC236}">
              <a16:creationId xmlns:a16="http://schemas.microsoft.com/office/drawing/2014/main" id="{00000000-0008-0000-0800-00009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2" name="Text Box 61">
          <a:extLst>
            <a:ext uri="{FF2B5EF4-FFF2-40B4-BE49-F238E27FC236}">
              <a16:creationId xmlns:a16="http://schemas.microsoft.com/office/drawing/2014/main" id="{00000000-0008-0000-0800-00009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3" name="Text Box 62">
          <a:extLst>
            <a:ext uri="{FF2B5EF4-FFF2-40B4-BE49-F238E27FC236}">
              <a16:creationId xmlns:a16="http://schemas.microsoft.com/office/drawing/2014/main" id="{00000000-0008-0000-0800-00009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4" name="Text Box 63">
          <a:extLst>
            <a:ext uri="{FF2B5EF4-FFF2-40B4-BE49-F238E27FC236}">
              <a16:creationId xmlns:a16="http://schemas.microsoft.com/office/drawing/2014/main" id="{00000000-0008-0000-0800-00009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5" name="Text Box 64">
          <a:extLst>
            <a:ext uri="{FF2B5EF4-FFF2-40B4-BE49-F238E27FC236}">
              <a16:creationId xmlns:a16="http://schemas.microsoft.com/office/drawing/2014/main" id="{00000000-0008-0000-0800-00009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6" name="Text Box 65">
          <a:extLst>
            <a:ext uri="{FF2B5EF4-FFF2-40B4-BE49-F238E27FC236}">
              <a16:creationId xmlns:a16="http://schemas.microsoft.com/office/drawing/2014/main" id="{00000000-0008-0000-0800-0000A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7" name="Text Box 66">
          <a:extLst>
            <a:ext uri="{FF2B5EF4-FFF2-40B4-BE49-F238E27FC236}">
              <a16:creationId xmlns:a16="http://schemas.microsoft.com/office/drawing/2014/main" id="{00000000-0008-0000-0800-0000A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8" name="Text Box 67">
          <a:extLst>
            <a:ext uri="{FF2B5EF4-FFF2-40B4-BE49-F238E27FC236}">
              <a16:creationId xmlns:a16="http://schemas.microsoft.com/office/drawing/2014/main" id="{00000000-0008-0000-0800-0000A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9" name="Text Box 68">
          <a:extLst>
            <a:ext uri="{FF2B5EF4-FFF2-40B4-BE49-F238E27FC236}">
              <a16:creationId xmlns:a16="http://schemas.microsoft.com/office/drawing/2014/main" id="{00000000-0008-0000-0800-0000A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0" name="Text Box 69">
          <a:extLst>
            <a:ext uri="{FF2B5EF4-FFF2-40B4-BE49-F238E27FC236}">
              <a16:creationId xmlns:a16="http://schemas.microsoft.com/office/drawing/2014/main" id="{00000000-0008-0000-0800-0000A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1" name="Text Box 70">
          <a:extLst>
            <a:ext uri="{FF2B5EF4-FFF2-40B4-BE49-F238E27FC236}">
              <a16:creationId xmlns:a16="http://schemas.microsoft.com/office/drawing/2014/main" id="{00000000-0008-0000-0800-0000A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2" name="Text Box 71">
          <a:extLst>
            <a:ext uri="{FF2B5EF4-FFF2-40B4-BE49-F238E27FC236}">
              <a16:creationId xmlns:a16="http://schemas.microsoft.com/office/drawing/2014/main" id="{00000000-0008-0000-0800-0000A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3" name="Text Box 72">
          <a:extLst>
            <a:ext uri="{FF2B5EF4-FFF2-40B4-BE49-F238E27FC236}">
              <a16:creationId xmlns:a16="http://schemas.microsoft.com/office/drawing/2014/main" id="{00000000-0008-0000-0800-0000A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4" name="Text Box 73">
          <a:extLst>
            <a:ext uri="{FF2B5EF4-FFF2-40B4-BE49-F238E27FC236}">
              <a16:creationId xmlns:a16="http://schemas.microsoft.com/office/drawing/2014/main" id="{00000000-0008-0000-0800-0000A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5" name="Text Box 74">
          <a:extLst>
            <a:ext uri="{FF2B5EF4-FFF2-40B4-BE49-F238E27FC236}">
              <a16:creationId xmlns:a16="http://schemas.microsoft.com/office/drawing/2014/main" id="{00000000-0008-0000-0800-0000A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6" name="Text Box 75">
          <a:extLst>
            <a:ext uri="{FF2B5EF4-FFF2-40B4-BE49-F238E27FC236}">
              <a16:creationId xmlns:a16="http://schemas.microsoft.com/office/drawing/2014/main" id="{00000000-0008-0000-0800-0000A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7" name="Text Box 76">
          <a:extLst>
            <a:ext uri="{FF2B5EF4-FFF2-40B4-BE49-F238E27FC236}">
              <a16:creationId xmlns:a16="http://schemas.microsoft.com/office/drawing/2014/main" id="{00000000-0008-0000-0800-0000A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8" name="Text Box 77">
          <a:extLst>
            <a:ext uri="{FF2B5EF4-FFF2-40B4-BE49-F238E27FC236}">
              <a16:creationId xmlns:a16="http://schemas.microsoft.com/office/drawing/2014/main" id="{00000000-0008-0000-0800-0000A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9" name="Text Box 78">
          <a:extLst>
            <a:ext uri="{FF2B5EF4-FFF2-40B4-BE49-F238E27FC236}">
              <a16:creationId xmlns:a16="http://schemas.microsoft.com/office/drawing/2014/main" id="{00000000-0008-0000-0800-0000A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0" name="Text Box 79">
          <a:extLst>
            <a:ext uri="{FF2B5EF4-FFF2-40B4-BE49-F238E27FC236}">
              <a16:creationId xmlns:a16="http://schemas.microsoft.com/office/drawing/2014/main" id="{00000000-0008-0000-0800-0000A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1" name="Text Box 80">
          <a:extLst>
            <a:ext uri="{FF2B5EF4-FFF2-40B4-BE49-F238E27FC236}">
              <a16:creationId xmlns:a16="http://schemas.microsoft.com/office/drawing/2014/main" id="{00000000-0008-0000-0800-0000A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2" name="Text Box 81">
          <a:extLst>
            <a:ext uri="{FF2B5EF4-FFF2-40B4-BE49-F238E27FC236}">
              <a16:creationId xmlns:a16="http://schemas.microsoft.com/office/drawing/2014/main" id="{00000000-0008-0000-0800-0000B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3" name="Text Box 82">
          <a:extLst>
            <a:ext uri="{FF2B5EF4-FFF2-40B4-BE49-F238E27FC236}">
              <a16:creationId xmlns:a16="http://schemas.microsoft.com/office/drawing/2014/main" id="{00000000-0008-0000-0800-0000B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4" name="Text Box 83">
          <a:extLst>
            <a:ext uri="{FF2B5EF4-FFF2-40B4-BE49-F238E27FC236}">
              <a16:creationId xmlns:a16="http://schemas.microsoft.com/office/drawing/2014/main" id="{00000000-0008-0000-0800-0000B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5" name="Text Box 84">
          <a:extLst>
            <a:ext uri="{FF2B5EF4-FFF2-40B4-BE49-F238E27FC236}">
              <a16:creationId xmlns:a16="http://schemas.microsoft.com/office/drawing/2014/main" id="{00000000-0008-0000-0800-0000B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6" name="Text Box 85">
          <a:extLst>
            <a:ext uri="{FF2B5EF4-FFF2-40B4-BE49-F238E27FC236}">
              <a16:creationId xmlns:a16="http://schemas.microsoft.com/office/drawing/2014/main" id="{00000000-0008-0000-0800-0000B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7" name="Text Box 86">
          <a:extLst>
            <a:ext uri="{FF2B5EF4-FFF2-40B4-BE49-F238E27FC236}">
              <a16:creationId xmlns:a16="http://schemas.microsoft.com/office/drawing/2014/main" id="{00000000-0008-0000-0800-0000B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8" name="Text Box 87">
          <a:extLst>
            <a:ext uri="{FF2B5EF4-FFF2-40B4-BE49-F238E27FC236}">
              <a16:creationId xmlns:a16="http://schemas.microsoft.com/office/drawing/2014/main" id="{00000000-0008-0000-0800-0000B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9" name="Text Box 88">
          <a:extLst>
            <a:ext uri="{FF2B5EF4-FFF2-40B4-BE49-F238E27FC236}">
              <a16:creationId xmlns:a16="http://schemas.microsoft.com/office/drawing/2014/main" id="{00000000-0008-0000-0800-0000B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0" name="Text Box 89">
          <a:extLst>
            <a:ext uri="{FF2B5EF4-FFF2-40B4-BE49-F238E27FC236}">
              <a16:creationId xmlns:a16="http://schemas.microsoft.com/office/drawing/2014/main" id="{00000000-0008-0000-0800-0000B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1" name="Text Box 90">
          <a:extLst>
            <a:ext uri="{FF2B5EF4-FFF2-40B4-BE49-F238E27FC236}">
              <a16:creationId xmlns:a16="http://schemas.microsoft.com/office/drawing/2014/main" id="{00000000-0008-0000-0800-0000B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2" name="Text Box 91">
          <a:extLst>
            <a:ext uri="{FF2B5EF4-FFF2-40B4-BE49-F238E27FC236}">
              <a16:creationId xmlns:a16="http://schemas.microsoft.com/office/drawing/2014/main" id="{00000000-0008-0000-0800-0000B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3" name="Text Box 92">
          <a:extLst>
            <a:ext uri="{FF2B5EF4-FFF2-40B4-BE49-F238E27FC236}">
              <a16:creationId xmlns:a16="http://schemas.microsoft.com/office/drawing/2014/main" id="{00000000-0008-0000-0800-0000B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4" name="Text Box 93">
          <a:extLst>
            <a:ext uri="{FF2B5EF4-FFF2-40B4-BE49-F238E27FC236}">
              <a16:creationId xmlns:a16="http://schemas.microsoft.com/office/drawing/2014/main" id="{00000000-0008-0000-0800-0000B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5" name="Text Box 94">
          <a:extLst>
            <a:ext uri="{FF2B5EF4-FFF2-40B4-BE49-F238E27FC236}">
              <a16:creationId xmlns:a16="http://schemas.microsoft.com/office/drawing/2014/main" id="{00000000-0008-0000-0800-0000B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6" name="Text Box 95">
          <a:extLst>
            <a:ext uri="{FF2B5EF4-FFF2-40B4-BE49-F238E27FC236}">
              <a16:creationId xmlns:a16="http://schemas.microsoft.com/office/drawing/2014/main" id="{00000000-0008-0000-0800-0000B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7" name="Text Box 96">
          <a:extLst>
            <a:ext uri="{FF2B5EF4-FFF2-40B4-BE49-F238E27FC236}">
              <a16:creationId xmlns:a16="http://schemas.microsoft.com/office/drawing/2014/main" id="{00000000-0008-0000-0800-0000B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8" name="Text Box 97">
          <a:extLst>
            <a:ext uri="{FF2B5EF4-FFF2-40B4-BE49-F238E27FC236}">
              <a16:creationId xmlns:a16="http://schemas.microsoft.com/office/drawing/2014/main" id="{00000000-0008-0000-0800-0000C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89" name="Text Box 100">
          <a:extLst>
            <a:ext uri="{FF2B5EF4-FFF2-40B4-BE49-F238E27FC236}">
              <a16:creationId xmlns:a16="http://schemas.microsoft.com/office/drawing/2014/main" id="{00000000-0008-0000-0800-0000C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0" name="Text Box 101">
          <a:extLst>
            <a:ext uri="{FF2B5EF4-FFF2-40B4-BE49-F238E27FC236}">
              <a16:creationId xmlns:a16="http://schemas.microsoft.com/office/drawing/2014/main" id="{00000000-0008-0000-0800-0000C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1" name="Text Box 102">
          <a:extLst>
            <a:ext uri="{FF2B5EF4-FFF2-40B4-BE49-F238E27FC236}">
              <a16:creationId xmlns:a16="http://schemas.microsoft.com/office/drawing/2014/main" id="{00000000-0008-0000-0800-0000C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2" name="Text Box 103">
          <a:extLst>
            <a:ext uri="{FF2B5EF4-FFF2-40B4-BE49-F238E27FC236}">
              <a16:creationId xmlns:a16="http://schemas.microsoft.com/office/drawing/2014/main" id="{00000000-0008-0000-0800-0000C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3" name="Text Box 104">
          <a:extLst>
            <a:ext uri="{FF2B5EF4-FFF2-40B4-BE49-F238E27FC236}">
              <a16:creationId xmlns:a16="http://schemas.microsoft.com/office/drawing/2014/main" id="{00000000-0008-0000-0800-0000C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4" name="Text Box 105">
          <a:extLst>
            <a:ext uri="{FF2B5EF4-FFF2-40B4-BE49-F238E27FC236}">
              <a16:creationId xmlns:a16="http://schemas.microsoft.com/office/drawing/2014/main" id="{00000000-0008-0000-0800-0000C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5" name="Text Box 106">
          <a:extLst>
            <a:ext uri="{FF2B5EF4-FFF2-40B4-BE49-F238E27FC236}">
              <a16:creationId xmlns:a16="http://schemas.microsoft.com/office/drawing/2014/main" id="{00000000-0008-0000-0800-0000C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6" name="Text Box 107">
          <a:extLst>
            <a:ext uri="{FF2B5EF4-FFF2-40B4-BE49-F238E27FC236}">
              <a16:creationId xmlns:a16="http://schemas.microsoft.com/office/drawing/2014/main" id="{00000000-0008-0000-0800-0000C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7" name="Text Box 108">
          <a:extLst>
            <a:ext uri="{FF2B5EF4-FFF2-40B4-BE49-F238E27FC236}">
              <a16:creationId xmlns:a16="http://schemas.microsoft.com/office/drawing/2014/main" id="{00000000-0008-0000-0800-0000C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8" name="Text Box 109">
          <a:extLst>
            <a:ext uri="{FF2B5EF4-FFF2-40B4-BE49-F238E27FC236}">
              <a16:creationId xmlns:a16="http://schemas.microsoft.com/office/drawing/2014/main" id="{00000000-0008-0000-0800-0000C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9" name="Text Box 110">
          <a:extLst>
            <a:ext uri="{FF2B5EF4-FFF2-40B4-BE49-F238E27FC236}">
              <a16:creationId xmlns:a16="http://schemas.microsoft.com/office/drawing/2014/main" id="{00000000-0008-0000-0800-0000C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0" name="Text Box 111">
          <a:extLst>
            <a:ext uri="{FF2B5EF4-FFF2-40B4-BE49-F238E27FC236}">
              <a16:creationId xmlns:a16="http://schemas.microsoft.com/office/drawing/2014/main" id="{00000000-0008-0000-0800-0000C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1" name="Text Box 119">
          <a:extLst>
            <a:ext uri="{FF2B5EF4-FFF2-40B4-BE49-F238E27FC236}">
              <a16:creationId xmlns:a16="http://schemas.microsoft.com/office/drawing/2014/main" id="{00000000-0008-0000-0800-0000C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2" name="Text Box 120">
          <a:extLst>
            <a:ext uri="{FF2B5EF4-FFF2-40B4-BE49-F238E27FC236}">
              <a16:creationId xmlns:a16="http://schemas.microsoft.com/office/drawing/2014/main" id="{00000000-0008-0000-0800-0000C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3" name="Text Box 121">
          <a:extLst>
            <a:ext uri="{FF2B5EF4-FFF2-40B4-BE49-F238E27FC236}">
              <a16:creationId xmlns:a16="http://schemas.microsoft.com/office/drawing/2014/main" id="{00000000-0008-0000-0800-0000C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4" name="Text Box 122">
          <a:extLst>
            <a:ext uri="{FF2B5EF4-FFF2-40B4-BE49-F238E27FC236}">
              <a16:creationId xmlns:a16="http://schemas.microsoft.com/office/drawing/2014/main" id="{00000000-0008-0000-0800-0000D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5" name="Text Box 123">
          <a:extLst>
            <a:ext uri="{FF2B5EF4-FFF2-40B4-BE49-F238E27FC236}">
              <a16:creationId xmlns:a16="http://schemas.microsoft.com/office/drawing/2014/main" id="{00000000-0008-0000-0800-0000D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6" name="Text Box 124">
          <a:extLst>
            <a:ext uri="{FF2B5EF4-FFF2-40B4-BE49-F238E27FC236}">
              <a16:creationId xmlns:a16="http://schemas.microsoft.com/office/drawing/2014/main" id="{00000000-0008-0000-0800-0000D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7" name="Text Box 125">
          <a:extLst>
            <a:ext uri="{FF2B5EF4-FFF2-40B4-BE49-F238E27FC236}">
              <a16:creationId xmlns:a16="http://schemas.microsoft.com/office/drawing/2014/main" id="{00000000-0008-0000-0800-0000D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8" name="Text Box 126">
          <a:extLst>
            <a:ext uri="{FF2B5EF4-FFF2-40B4-BE49-F238E27FC236}">
              <a16:creationId xmlns:a16="http://schemas.microsoft.com/office/drawing/2014/main" id="{00000000-0008-0000-0800-0000D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9" name="Text Box 127">
          <a:extLst>
            <a:ext uri="{FF2B5EF4-FFF2-40B4-BE49-F238E27FC236}">
              <a16:creationId xmlns:a16="http://schemas.microsoft.com/office/drawing/2014/main" id="{00000000-0008-0000-0800-0000D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0" name="Text Box 128">
          <a:extLst>
            <a:ext uri="{FF2B5EF4-FFF2-40B4-BE49-F238E27FC236}">
              <a16:creationId xmlns:a16="http://schemas.microsoft.com/office/drawing/2014/main" id="{00000000-0008-0000-0800-0000D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1" name="Text Box 129">
          <a:extLst>
            <a:ext uri="{FF2B5EF4-FFF2-40B4-BE49-F238E27FC236}">
              <a16:creationId xmlns:a16="http://schemas.microsoft.com/office/drawing/2014/main" id="{00000000-0008-0000-0800-0000D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2" name="Text Box 130">
          <a:extLst>
            <a:ext uri="{FF2B5EF4-FFF2-40B4-BE49-F238E27FC236}">
              <a16:creationId xmlns:a16="http://schemas.microsoft.com/office/drawing/2014/main" id="{00000000-0008-0000-0800-0000D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3" name="Text Box 133">
          <a:extLst>
            <a:ext uri="{FF2B5EF4-FFF2-40B4-BE49-F238E27FC236}">
              <a16:creationId xmlns:a16="http://schemas.microsoft.com/office/drawing/2014/main" id="{00000000-0008-0000-0800-0000D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4" name="Text Box 134">
          <a:extLst>
            <a:ext uri="{FF2B5EF4-FFF2-40B4-BE49-F238E27FC236}">
              <a16:creationId xmlns:a16="http://schemas.microsoft.com/office/drawing/2014/main" id="{00000000-0008-0000-0800-0000D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5" name="Text Box 135">
          <a:extLst>
            <a:ext uri="{FF2B5EF4-FFF2-40B4-BE49-F238E27FC236}">
              <a16:creationId xmlns:a16="http://schemas.microsoft.com/office/drawing/2014/main" id="{00000000-0008-0000-0800-0000D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6" name="Text Box 136">
          <a:extLst>
            <a:ext uri="{FF2B5EF4-FFF2-40B4-BE49-F238E27FC236}">
              <a16:creationId xmlns:a16="http://schemas.microsoft.com/office/drawing/2014/main" id="{00000000-0008-0000-0800-0000D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7" name="Text Box 137">
          <a:extLst>
            <a:ext uri="{FF2B5EF4-FFF2-40B4-BE49-F238E27FC236}">
              <a16:creationId xmlns:a16="http://schemas.microsoft.com/office/drawing/2014/main" id="{00000000-0008-0000-0800-0000D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8" name="Text Box 138">
          <a:extLst>
            <a:ext uri="{FF2B5EF4-FFF2-40B4-BE49-F238E27FC236}">
              <a16:creationId xmlns:a16="http://schemas.microsoft.com/office/drawing/2014/main" id="{00000000-0008-0000-0800-0000D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9" name="Text Box 139">
          <a:extLst>
            <a:ext uri="{FF2B5EF4-FFF2-40B4-BE49-F238E27FC236}">
              <a16:creationId xmlns:a16="http://schemas.microsoft.com/office/drawing/2014/main" id="{00000000-0008-0000-0800-0000D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0" name="Text Box 140">
          <a:extLst>
            <a:ext uri="{FF2B5EF4-FFF2-40B4-BE49-F238E27FC236}">
              <a16:creationId xmlns:a16="http://schemas.microsoft.com/office/drawing/2014/main" id="{00000000-0008-0000-0800-0000E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1" name="Text Box 141">
          <a:extLst>
            <a:ext uri="{FF2B5EF4-FFF2-40B4-BE49-F238E27FC236}">
              <a16:creationId xmlns:a16="http://schemas.microsoft.com/office/drawing/2014/main" id="{00000000-0008-0000-0800-0000E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2" name="Text Box 142">
          <a:extLst>
            <a:ext uri="{FF2B5EF4-FFF2-40B4-BE49-F238E27FC236}">
              <a16:creationId xmlns:a16="http://schemas.microsoft.com/office/drawing/2014/main" id="{00000000-0008-0000-0800-0000E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3" name="Text Box 143">
          <a:extLst>
            <a:ext uri="{FF2B5EF4-FFF2-40B4-BE49-F238E27FC236}">
              <a16:creationId xmlns:a16="http://schemas.microsoft.com/office/drawing/2014/main" id="{00000000-0008-0000-0800-0000E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4" name="Text Box 144">
          <a:extLst>
            <a:ext uri="{FF2B5EF4-FFF2-40B4-BE49-F238E27FC236}">
              <a16:creationId xmlns:a16="http://schemas.microsoft.com/office/drawing/2014/main" id="{00000000-0008-0000-0800-0000E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5" name="Text Box 145">
          <a:extLst>
            <a:ext uri="{FF2B5EF4-FFF2-40B4-BE49-F238E27FC236}">
              <a16:creationId xmlns:a16="http://schemas.microsoft.com/office/drawing/2014/main" id="{00000000-0008-0000-0800-0000E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6" name="Text Box 146">
          <a:extLst>
            <a:ext uri="{FF2B5EF4-FFF2-40B4-BE49-F238E27FC236}">
              <a16:creationId xmlns:a16="http://schemas.microsoft.com/office/drawing/2014/main" id="{00000000-0008-0000-0800-0000E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7" name="Text Box 147">
          <a:extLst>
            <a:ext uri="{FF2B5EF4-FFF2-40B4-BE49-F238E27FC236}">
              <a16:creationId xmlns:a16="http://schemas.microsoft.com/office/drawing/2014/main" id="{00000000-0008-0000-0800-0000E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8" name="Text Box 148">
          <a:extLst>
            <a:ext uri="{FF2B5EF4-FFF2-40B4-BE49-F238E27FC236}">
              <a16:creationId xmlns:a16="http://schemas.microsoft.com/office/drawing/2014/main" id="{00000000-0008-0000-0800-0000E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9" name="Text Box 149">
          <a:extLst>
            <a:ext uri="{FF2B5EF4-FFF2-40B4-BE49-F238E27FC236}">
              <a16:creationId xmlns:a16="http://schemas.microsoft.com/office/drawing/2014/main" id="{00000000-0008-0000-0800-0000E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0" name="Text Box 150">
          <a:extLst>
            <a:ext uri="{FF2B5EF4-FFF2-40B4-BE49-F238E27FC236}">
              <a16:creationId xmlns:a16="http://schemas.microsoft.com/office/drawing/2014/main" id="{00000000-0008-0000-0800-0000E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1" name="Text Box 151">
          <a:extLst>
            <a:ext uri="{FF2B5EF4-FFF2-40B4-BE49-F238E27FC236}">
              <a16:creationId xmlns:a16="http://schemas.microsoft.com/office/drawing/2014/main" id="{00000000-0008-0000-0800-0000E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2" name="Text Box 152">
          <a:extLst>
            <a:ext uri="{FF2B5EF4-FFF2-40B4-BE49-F238E27FC236}">
              <a16:creationId xmlns:a16="http://schemas.microsoft.com/office/drawing/2014/main" id="{00000000-0008-0000-0800-0000E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3" name="Text Box 153">
          <a:extLst>
            <a:ext uri="{FF2B5EF4-FFF2-40B4-BE49-F238E27FC236}">
              <a16:creationId xmlns:a16="http://schemas.microsoft.com/office/drawing/2014/main" id="{00000000-0008-0000-0800-0000E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4" name="Text Box 154">
          <a:extLst>
            <a:ext uri="{FF2B5EF4-FFF2-40B4-BE49-F238E27FC236}">
              <a16:creationId xmlns:a16="http://schemas.microsoft.com/office/drawing/2014/main" id="{00000000-0008-0000-0800-0000E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5" name="Text Box 155">
          <a:extLst>
            <a:ext uri="{FF2B5EF4-FFF2-40B4-BE49-F238E27FC236}">
              <a16:creationId xmlns:a16="http://schemas.microsoft.com/office/drawing/2014/main" id="{00000000-0008-0000-0800-0000E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6" name="Text Box 156">
          <a:extLst>
            <a:ext uri="{FF2B5EF4-FFF2-40B4-BE49-F238E27FC236}">
              <a16:creationId xmlns:a16="http://schemas.microsoft.com/office/drawing/2014/main" id="{00000000-0008-0000-0800-0000F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7" name="Text Box 157">
          <a:extLst>
            <a:ext uri="{FF2B5EF4-FFF2-40B4-BE49-F238E27FC236}">
              <a16:creationId xmlns:a16="http://schemas.microsoft.com/office/drawing/2014/main" id="{00000000-0008-0000-0800-0000F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8" name="Text Box 158">
          <a:extLst>
            <a:ext uri="{FF2B5EF4-FFF2-40B4-BE49-F238E27FC236}">
              <a16:creationId xmlns:a16="http://schemas.microsoft.com/office/drawing/2014/main" id="{00000000-0008-0000-0800-0000F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9" name="Text Box 159">
          <a:extLst>
            <a:ext uri="{FF2B5EF4-FFF2-40B4-BE49-F238E27FC236}">
              <a16:creationId xmlns:a16="http://schemas.microsoft.com/office/drawing/2014/main" id="{00000000-0008-0000-0800-0000F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0" name="Text Box 160">
          <a:extLst>
            <a:ext uri="{FF2B5EF4-FFF2-40B4-BE49-F238E27FC236}">
              <a16:creationId xmlns:a16="http://schemas.microsoft.com/office/drawing/2014/main" id="{00000000-0008-0000-0800-0000F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1" name="Text Box 161">
          <a:extLst>
            <a:ext uri="{FF2B5EF4-FFF2-40B4-BE49-F238E27FC236}">
              <a16:creationId xmlns:a16="http://schemas.microsoft.com/office/drawing/2014/main" id="{00000000-0008-0000-0800-0000F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2" name="Text Box 162">
          <a:extLst>
            <a:ext uri="{FF2B5EF4-FFF2-40B4-BE49-F238E27FC236}">
              <a16:creationId xmlns:a16="http://schemas.microsoft.com/office/drawing/2014/main" id="{00000000-0008-0000-0800-0000F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3" name="Text Box 163">
          <a:extLst>
            <a:ext uri="{FF2B5EF4-FFF2-40B4-BE49-F238E27FC236}">
              <a16:creationId xmlns:a16="http://schemas.microsoft.com/office/drawing/2014/main" id="{00000000-0008-0000-0800-0000F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4" name="Text Box 164">
          <a:extLst>
            <a:ext uri="{FF2B5EF4-FFF2-40B4-BE49-F238E27FC236}">
              <a16:creationId xmlns:a16="http://schemas.microsoft.com/office/drawing/2014/main" id="{00000000-0008-0000-0800-0000F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5" name="Text Box 165">
          <a:extLst>
            <a:ext uri="{FF2B5EF4-FFF2-40B4-BE49-F238E27FC236}">
              <a16:creationId xmlns:a16="http://schemas.microsoft.com/office/drawing/2014/main" id="{00000000-0008-0000-0800-0000F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6" name="Text Box 166">
          <a:extLst>
            <a:ext uri="{FF2B5EF4-FFF2-40B4-BE49-F238E27FC236}">
              <a16:creationId xmlns:a16="http://schemas.microsoft.com/office/drawing/2014/main" id="{00000000-0008-0000-0800-0000F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7" name="Text Box 167">
          <a:extLst>
            <a:ext uri="{FF2B5EF4-FFF2-40B4-BE49-F238E27FC236}">
              <a16:creationId xmlns:a16="http://schemas.microsoft.com/office/drawing/2014/main" id="{00000000-0008-0000-0800-0000F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8" name="Text Box 168">
          <a:extLst>
            <a:ext uri="{FF2B5EF4-FFF2-40B4-BE49-F238E27FC236}">
              <a16:creationId xmlns:a16="http://schemas.microsoft.com/office/drawing/2014/main" id="{00000000-0008-0000-0800-0000F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9" name="Text Box 169">
          <a:extLst>
            <a:ext uri="{FF2B5EF4-FFF2-40B4-BE49-F238E27FC236}">
              <a16:creationId xmlns:a16="http://schemas.microsoft.com/office/drawing/2014/main" id="{00000000-0008-0000-0800-0000F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0" name="Text Box 170">
          <a:extLst>
            <a:ext uri="{FF2B5EF4-FFF2-40B4-BE49-F238E27FC236}">
              <a16:creationId xmlns:a16="http://schemas.microsoft.com/office/drawing/2014/main" id="{00000000-0008-0000-0800-0000F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1" name="Text Box 171">
          <a:extLst>
            <a:ext uri="{FF2B5EF4-FFF2-40B4-BE49-F238E27FC236}">
              <a16:creationId xmlns:a16="http://schemas.microsoft.com/office/drawing/2014/main" id="{00000000-0008-0000-0800-0000F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2" name="Text Box 172">
          <a:extLst>
            <a:ext uri="{FF2B5EF4-FFF2-40B4-BE49-F238E27FC236}">
              <a16:creationId xmlns:a16="http://schemas.microsoft.com/office/drawing/2014/main" id="{00000000-0008-0000-0800-00000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3" name="Text Box 173">
          <a:extLst>
            <a:ext uri="{FF2B5EF4-FFF2-40B4-BE49-F238E27FC236}">
              <a16:creationId xmlns:a16="http://schemas.microsoft.com/office/drawing/2014/main" id="{00000000-0008-0000-0800-00000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4" name="Text Box 174">
          <a:extLst>
            <a:ext uri="{FF2B5EF4-FFF2-40B4-BE49-F238E27FC236}">
              <a16:creationId xmlns:a16="http://schemas.microsoft.com/office/drawing/2014/main" id="{00000000-0008-0000-0800-00000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5" name="Text Box 175">
          <a:extLst>
            <a:ext uri="{FF2B5EF4-FFF2-40B4-BE49-F238E27FC236}">
              <a16:creationId xmlns:a16="http://schemas.microsoft.com/office/drawing/2014/main" id="{00000000-0008-0000-0800-00000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6" name="Text Box 176">
          <a:extLst>
            <a:ext uri="{FF2B5EF4-FFF2-40B4-BE49-F238E27FC236}">
              <a16:creationId xmlns:a16="http://schemas.microsoft.com/office/drawing/2014/main" id="{00000000-0008-0000-0800-00000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7" name="Text Box 177">
          <a:extLst>
            <a:ext uri="{FF2B5EF4-FFF2-40B4-BE49-F238E27FC236}">
              <a16:creationId xmlns:a16="http://schemas.microsoft.com/office/drawing/2014/main" id="{00000000-0008-0000-0800-00000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8" name="Text Box 178">
          <a:extLst>
            <a:ext uri="{FF2B5EF4-FFF2-40B4-BE49-F238E27FC236}">
              <a16:creationId xmlns:a16="http://schemas.microsoft.com/office/drawing/2014/main" id="{00000000-0008-0000-0800-00000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9" name="Text Box 179">
          <a:extLst>
            <a:ext uri="{FF2B5EF4-FFF2-40B4-BE49-F238E27FC236}">
              <a16:creationId xmlns:a16="http://schemas.microsoft.com/office/drawing/2014/main" id="{00000000-0008-0000-0800-00000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0" name="Text Box 180">
          <a:extLst>
            <a:ext uri="{FF2B5EF4-FFF2-40B4-BE49-F238E27FC236}">
              <a16:creationId xmlns:a16="http://schemas.microsoft.com/office/drawing/2014/main" id="{00000000-0008-0000-0800-00000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1" name="Text Box 181">
          <a:extLst>
            <a:ext uri="{FF2B5EF4-FFF2-40B4-BE49-F238E27FC236}">
              <a16:creationId xmlns:a16="http://schemas.microsoft.com/office/drawing/2014/main" id="{00000000-0008-0000-0800-00000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2" name="Text Box 182">
          <a:extLst>
            <a:ext uri="{FF2B5EF4-FFF2-40B4-BE49-F238E27FC236}">
              <a16:creationId xmlns:a16="http://schemas.microsoft.com/office/drawing/2014/main" id="{00000000-0008-0000-0800-00000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3" name="Text Box 183">
          <a:extLst>
            <a:ext uri="{FF2B5EF4-FFF2-40B4-BE49-F238E27FC236}">
              <a16:creationId xmlns:a16="http://schemas.microsoft.com/office/drawing/2014/main" id="{00000000-0008-0000-0800-00000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4" name="Text Box 184">
          <a:extLst>
            <a:ext uri="{FF2B5EF4-FFF2-40B4-BE49-F238E27FC236}">
              <a16:creationId xmlns:a16="http://schemas.microsoft.com/office/drawing/2014/main" id="{00000000-0008-0000-0800-00000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5" name="Text Box 185">
          <a:extLst>
            <a:ext uri="{FF2B5EF4-FFF2-40B4-BE49-F238E27FC236}">
              <a16:creationId xmlns:a16="http://schemas.microsoft.com/office/drawing/2014/main" id="{00000000-0008-0000-0800-00000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6" name="Text Box 186">
          <a:extLst>
            <a:ext uri="{FF2B5EF4-FFF2-40B4-BE49-F238E27FC236}">
              <a16:creationId xmlns:a16="http://schemas.microsoft.com/office/drawing/2014/main" id="{00000000-0008-0000-0800-00000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7" name="Text Box 187">
          <a:extLst>
            <a:ext uri="{FF2B5EF4-FFF2-40B4-BE49-F238E27FC236}">
              <a16:creationId xmlns:a16="http://schemas.microsoft.com/office/drawing/2014/main" id="{00000000-0008-0000-0800-00000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8" name="Text Box 188">
          <a:extLst>
            <a:ext uri="{FF2B5EF4-FFF2-40B4-BE49-F238E27FC236}">
              <a16:creationId xmlns:a16="http://schemas.microsoft.com/office/drawing/2014/main" id="{00000000-0008-0000-0800-00001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9" name="Text Box 189">
          <a:extLst>
            <a:ext uri="{FF2B5EF4-FFF2-40B4-BE49-F238E27FC236}">
              <a16:creationId xmlns:a16="http://schemas.microsoft.com/office/drawing/2014/main" id="{00000000-0008-0000-0800-00001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0" name="Text Box 190">
          <a:extLst>
            <a:ext uri="{FF2B5EF4-FFF2-40B4-BE49-F238E27FC236}">
              <a16:creationId xmlns:a16="http://schemas.microsoft.com/office/drawing/2014/main" id="{00000000-0008-0000-0800-00001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1" name="Text Box 191">
          <a:extLst>
            <a:ext uri="{FF2B5EF4-FFF2-40B4-BE49-F238E27FC236}">
              <a16:creationId xmlns:a16="http://schemas.microsoft.com/office/drawing/2014/main" id="{00000000-0008-0000-0800-00001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2" name="Text Box 192">
          <a:extLst>
            <a:ext uri="{FF2B5EF4-FFF2-40B4-BE49-F238E27FC236}">
              <a16:creationId xmlns:a16="http://schemas.microsoft.com/office/drawing/2014/main" id="{00000000-0008-0000-0800-00001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3" name="Text Box 193">
          <a:extLst>
            <a:ext uri="{FF2B5EF4-FFF2-40B4-BE49-F238E27FC236}">
              <a16:creationId xmlns:a16="http://schemas.microsoft.com/office/drawing/2014/main" id="{00000000-0008-0000-0800-00001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4" name="Text Box 194">
          <a:extLst>
            <a:ext uri="{FF2B5EF4-FFF2-40B4-BE49-F238E27FC236}">
              <a16:creationId xmlns:a16="http://schemas.microsoft.com/office/drawing/2014/main" id="{00000000-0008-0000-0800-00001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5" name="Text Box 195">
          <a:extLst>
            <a:ext uri="{FF2B5EF4-FFF2-40B4-BE49-F238E27FC236}">
              <a16:creationId xmlns:a16="http://schemas.microsoft.com/office/drawing/2014/main" id="{00000000-0008-0000-0800-00001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6" name="Text Box 196">
          <a:extLst>
            <a:ext uri="{FF2B5EF4-FFF2-40B4-BE49-F238E27FC236}">
              <a16:creationId xmlns:a16="http://schemas.microsoft.com/office/drawing/2014/main" id="{00000000-0008-0000-0800-00001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7" name="Text Box 197">
          <a:extLst>
            <a:ext uri="{FF2B5EF4-FFF2-40B4-BE49-F238E27FC236}">
              <a16:creationId xmlns:a16="http://schemas.microsoft.com/office/drawing/2014/main" id="{00000000-0008-0000-0800-00001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8" name="Text Box 198">
          <a:extLst>
            <a:ext uri="{FF2B5EF4-FFF2-40B4-BE49-F238E27FC236}">
              <a16:creationId xmlns:a16="http://schemas.microsoft.com/office/drawing/2014/main" id="{00000000-0008-0000-0800-00001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9" name="Text Box 199">
          <a:extLst>
            <a:ext uri="{FF2B5EF4-FFF2-40B4-BE49-F238E27FC236}">
              <a16:creationId xmlns:a16="http://schemas.microsoft.com/office/drawing/2014/main" id="{00000000-0008-0000-0800-00001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0" name="Text Box 200">
          <a:extLst>
            <a:ext uri="{FF2B5EF4-FFF2-40B4-BE49-F238E27FC236}">
              <a16:creationId xmlns:a16="http://schemas.microsoft.com/office/drawing/2014/main" id="{00000000-0008-0000-0800-00001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1" name="Text Box 201">
          <a:extLst>
            <a:ext uri="{FF2B5EF4-FFF2-40B4-BE49-F238E27FC236}">
              <a16:creationId xmlns:a16="http://schemas.microsoft.com/office/drawing/2014/main" id="{00000000-0008-0000-0800-00001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2" name="Text Box 202">
          <a:extLst>
            <a:ext uri="{FF2B5EF4-FFF2-40B4-BE49-F238E27FC236}">
              <a16:creationId xmlns:a16="http://schemas.microsoft.com/office/drawing/2014/main" id="{00000000-0008-0000-0800-00001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3" name="Text Box 203">
          <a:extLst>
            <a:ext uri="{FF2B5EF4-FFF2-40B4-BE49-F238E27FC236}">
              <a16:creationId xmlns:a16="http://schemas.microsoft.com/office/drawing/2014/main" id="{00000000-0008-0000-0800-00001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4" name="Text Box 204">
          <a:extLst>
            <a:ext uri="{FF2B5EF4-FFF2-40B4-BE49-F238E27FC236}">
              <a16:creationId xmlns:a16="http://schemas.microsoft.com/office/drawing/2014/main" id="{00000000-0008-0000-0800-00002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5" name="Text Box 205">
          <a:extLst>
            <a:ext uri="{FF2B5EF4-FFF2-40B4-BE49-F238E27FC236}">
              <a16:creationId xmlns:a16="http://schemas.microsoft.com/office/drawing/2014/main" id="{00000000-0008-0000-0800-00002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6" name="Text Box 206">
          <a:extLst>
            <a:ext uri="{FF2B5EF4-FFF2-40B4-BE49-F238E27FC236}">
              <a16:creationId xmlns:a16="http://schemas.microsoft.com/office/drawing/2014/main" id="{00000000-0008-0000-0800-00002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7" name="Text Box 207">
          <a:extLst>
            <a:ext uri="{FF2B5EF4-FFF2-40B4-BE49-F238E27FC236}">
              <a16:creationId xmlns:a16="http://schemas.microsoft.com/office/drawing/2014/main" id="{00000000-0008-0000-0800-00002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8" name="Text Box 208">
          <a:extLst>
            <a:ext uri="{FF2B5EF4-FFF2-40B4-BE49-F238E27FC236}">
              <a16:creationId xmlns:a16="http://schemas.microsoft.com/office/drawing/2014/main" id="{00000000-0008-0000-0800-00002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9" name="Text Box 209">
          <a:extLst>
            <a:ext uri="{FF2B5EF4-FFF2-40B4-BE49-F238E27FC236}">
              <a16:creationId xmlns:a16="http://schemas.microsoft.com/office/drawing/2014/main" id="{00000000-0008-0000-0800-00002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0" name="Text Box 210">
          <a:extLst>
            <a:ext uri="{FF2B5EF4-FFF2-40B4-BE49-F238E27FC236}">
              <a16:creationId xmlns:a16="http://schemas.microsoft.com/office/drawing/2014/main" id="{00000000-0008-0000-0800-00002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1" name="Text Box 211">
          <a:extLst>
            <a:ext uri="{FF2B5EF4-FFF2-40B4-BE49-F238E27FC236}">
              <a16:creationId xmlns:a16="http://schemas.microsoft.com/office/drawing/2014/main" id="{00000000-0008-0000-0800-00002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2" name="Text Box 212">
          <a:extLst>
            <a:ext uri="{FF2B5EF4-FFF2-40B4-BE49-F238E27FC236}">
              <a16:creationId xmlns:a16="http://schemas.microsoft.com/office/drawing/2014/main" id="{00000000-0008-0000-0800-00002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3" name="Text Box 213">
          <a:extLst>
            <a:ext uri="{FF2B5EF4-FFF2-40B4-BE49-F238E27FC236}">
              <a16:creationId xmlns:a16="http://schemas.microsoft.com/office/drawing/2014/main" id="{00000000-0008-0000-0800-00002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4" name="Text Box 214">
          <a:extLst>
            <a:ext uri="{FF2B5EF4-FFF2-40B4-BE49-F238E27FC236}">
              <a16:creationId xmlns:a16="http://schemas.microsoft.com/office/drawing/2014/main" id="{00000000-0008-0000-0800-00002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5" name="Text Box 215">
          <a:extLst>
            <a:ext uri="{FF2B5EF4-FFF2-40B4-BE49-F238E27FC236}">
              <a16:creationId xmlns:a16="http://schemas.microsoft.com/office/drawing/2014/main" id="{00000000-0008-0000-0800-00002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6" name="Text Box 216">
          <a:extLst>
            <a:ext uri="{FF2B5EF4-FFF2-40B4-BE49-F238E27FC236}">
              <a16:creationId xmlns:a16="http://schemas.microsoft.com/office/drawing/2014/main" id="{00000000-0008-0000-0800-00002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7" name="Text Box 217">
          <a:extLst>
            <a:ext uri="{FF2B5EF4-FFF2-40B4-BE49-F238E27FC236}">
              <a16:creationId xmlns:a16="http://schemas.microsoft.com/office/drawing/2014/main" id="{00000000-0008-0000-0800-00002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8" name="Text Box 218">
          <a:extLst>
            <a:ext uri="{FF2B5EF4-FFF2-40B4-BE49-F238E27FC236}">
              <a16:creationId xmlns:a16="http://schemas.microsoft.com/office/drawing/2014/main" id="{00000000-0008-0000-0800-00002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9" name="Text Box 219">
          <a:extLst>
            <a:ext uri="{FF2B5EF4-FFF2-40B4-BE49-F238E27FC236}">
              <a16:creationId xmlns:a16="http://schemas.microsoft.com/office/drawing/2014/main" id="{00000000-0008-0000-0800-00002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0" name="Text Box 220">
          <a:extLst>
            <a:ext uri="{FF2B5EF4-FFF2-40B4-BE49-F238E27FC236}">
              <a16:creationId xmlns:a16="http://schemas.microsoft.com/office/drawing/2014/main" id="{00000000-0008-0000-0800-00003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1" name="Text Box 221">
          <a:extLst>
            <a:ext uri="{FF2B5EF4-FFF2-40B4-BE49-F238E27FC236}">
              <a16:creationId xmlns:a16="http://schemas.microsoft.com/office/drawing/2014/main" id="{00000000-0008-0000-0800-00003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2" name="Text Box 222">
          <a:extLst>
            <a:ext uri="{FF2B5EF4-FFF2-40B4-BE49-F238E27FC236}">
              <a16:creationId xmlns:a16="http://schemas.microsoft.com/office/drawing/2014/main" id="{00000000-0008-0000-0800-00003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3" name="Text Box 223">
          <a:extLst>
            <a:ext uri="{FF2B5EF4-FFF2-40B4-BE49-F238E27FC236}">
              <a16:creationId xmlns:a16="http://schemas.microsoft.com/office/drawing/2014/main" id="{00000000-0008-0000-0800-00003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4" name="Text Box 224">
          <a:extLst>
            <a:ext uri="{FF2B5EF4-FFF2-40B4-BE49-F238E27FC236}">
              <a16:creationId xmlns:a16="http://schemas.microsoft.com/office/drawing/2014/main" id="{00000000-0008-0000-0800-00003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5" name="Text Box 225">
          <a:extLst>
            <a:ext uri="{FF2B5EF4-FFF2-40B4-BE49-F238E27FC236}">
              <a16:creationId xmlns:a16="http://schemas.microsoft.com/office/drawing/2014/main" id="{00000000-0008-0000-0800-00003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6" name="Text Box 226">
          <a:extLst>
            <a:ext uri="{FF2B5EF4-FFF2-40B4-BE49-F238E27FC236}">
              <a16:creationId xmlns:a16="http://schemas.microsoft.com/office/drawing/2014/main" id="{00000000-0008-0000-0800-00003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7" name="Text Box 227">
          <a:extLst>
            <a:ext uri="{FF2B5EF4-FFF2-40B4-BE49-F238E27FC236}">
              <a16:creationId xmlns:a16="http://schemas.microsoft.com/office/drawing/2014/main" id="{00000000-0008-0000-0800-00003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8" name="Text Box 228">
          <a:extLst>
            <a:ext uri="{FF2B5EF4-FFF2-40B4-BE49-F238E27FC236}">
              <a16:creationId xmlns:a16="http://schemas.microsoft.com/office/drawing/2014/main" id="{00000000-0008-0000-0800-00003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9" name="Text Box 229">
          <a:extLst>
            <a:ext uri="{FF2B5EF4-FFF2-40B4-BE49-F238E27FC236}">
              <a16:creationId xmlns:a16="http://schemas.microsoft.com/office/drawing/2014/main" id="{00000000-0008-0000-0800-00003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0" name="Text Box 230">
          <a:extLst>
            <a:ext uri="{FF2B5EF4-FFF2-40B4-BE49-F238E27FC236}">
              <a16:creationId xmlns:a16="http://schemas.microsoft.com/office/drawing/2014/main" id="{00000000-0008-0000-0800-00003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1" name="Text Box 231">
          <a:extLst>
            <a:ext uri="{FF2B5EF4-FFF2-40B4-BE49-F238E27FC236}">
              <a16:creationId xmlns:a16="http://schemas.microsoft.com/office/drawing/2014/main" id="{00000000-0008-0000-0800-00003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2" name="Text Box 232">
          <a:extLst>
            <a:ext uri="{FF2B5EF4-FFF2-40B4-BE49-F238E27FC236}">
              <a16:creationId xmlns:a16="http://schemas.microsoft.com/office/drawing/2014/main" id="{00000000-0008-0000-0800-00003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3" name="Text Box 233">
          <a:extLst>
            <a:ext uri="{FF2B5EF4-FFF2-40B4-BE49-F238E27FC236}">
              <a16:creationId xmlns:a16="http://schemas.microsoft.com/office/drawing/2014/main" id="{00000000-0008-0000-0800-00003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4" name="Text Box 234">
          <a:extLst>
            <a:ext uri="{FF2B5EF4-FFF2-40B4-BE49-F238E27FC236}">
              <a16:creationId xmlns:a16="http://schemas.microsoft.com/office/drawing/2014/main" id="{00000000-0008-0000-0800-00003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5" name="Text Box 235">
          <a:extLst>
            <a:ext uri="{FF2B5EF4-FFF2-40B4-BE49-F238E27FC236}">
              <a16:creationId xmlns:a16="http://schemas.microsoft.com/office/drawing/2014/main" id="{00000000-0008-0000-0800-00003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6" name="Text Box 236">
          <a:extLst>
            <a:ext uri="{FF2B5EF4-FFF2-40B4-BE49-F238E27FC236}">
              <a16:creationId xmlns:a16="http://schemas.microsoft.com/office/drawing/2014/main" id="{00000000-0008-0000-0800-00004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7" name="Text Box 237">
          <a:extLst>
            <a:ext uri="{FF2B5EF4-FFF2-40B4-BE49-F238E27FC236}">
              <a16:creationId xmlns:a16="http://schemas.microsoft.com/office/drawing/2014/main" id="{00000000-0008-0000-0800-00004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8" name="Text Box 238">
          <a:extLst>
            <a:ext uri="{FF2B5EF4-FFF2-40B4-BE49-F238E27FC236}">
              <a16:creationId xmlns:a16="http://schemas.microsoft.com/office/drawing/2014/main" id="{00000000-0008-0000-0800-00004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9" name="Text Box 239">
          <a:extLst>
            <a:ext uri="{FF2B5EF4-FFF2-40B4-BE49-F238E27FC236}">
              <a16:creationId xmlns:a16="http://schemas.microsoft.com/office/drawing/2014/main" id="{00000000-0008-0000-0800-00004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0" name="Text Box 240">
          <a:extLst>
            <a:ext uri="{FF2B5EF4-FFF2-40B4-BE49-F238E27FC236}">
              <a16:creationId xmlns:a16="http://schemas.microsoft.com/office/drawing/2014/main" id="{00000000-0008-0000-0800-00004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1" name="Text Box 241">
          <a:extLst>
            <a:ext uri="{FF2B5EF4-FFF2-40B4-BE49-F238E27FC236}">
              <a16:creationId xmlns:a16="http://schemas.microsoft.com/office/drawing/2014/main" id="{00000000-0008-0000-0800-00004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2" name="Text Box 242">
          <a:extLst>
            <a:ext uri="{FF2B5EF4-FFF2-40B4-BE49-F238E27FC236}">
              <a16:creationId xmlns:a16="http://schemas.microsoft.com/office/drawing/2014/main" id="{00000000-0008-0000-0800-00004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3" name="Text Box 243">
          <a:extLst>
            <a:ext uri="{FF2B5EF4-FFF2-40B4-BE49-F238E27FC236}">
              <a16:creationId xmlns:a16="http://schemas.microsoft.com/office/drawing/2014/main" id="{00000000-0008-0000-0800-00004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4" name="Text Box 244">
          <a:extLst>
            <a:ext uri="{FF2B5EF4-FFF2-40B4-BE49-F238E27FC236}">
              <a16:creationId xmlns:a16="http://schemas.microsoft.com/office/drawing/2014/main" id="{00000000-0008-0000-0800-00004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5" name="Text Box 245">
          <a:extLst>
            <a:ext uri="{FF2B5EF4-FFF2-40B4-BE49-F238E27FC236}">
              <a16:creationId xmlns:a16="http://schemas.microsoft.com/office/drawing/2014/main" id="{00000000-0008-0000-0800-00004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6" name="Text Box 246">
          <a:extLst>
            <a:ext uri="{FF2B5EF4-FFF2-40B4-BE49-F238E27FC236}">
              <a16:creationId xmlns:a16="http://schemas.microsoft.com/office/drawing/2014/main" id="{00000000-0008-0000-0800-00004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7" name="Text Box 247">
          <a:extLst>
            <a:ext uri="{FF2B5EF4-FFF2-40B4-BE49-F238E27FC236}">
              <a16:creationId xmlns:a16="http://schemas.microsoft.com/office/drawing/2014/main" id="{00000000-0008-0000-0800-00004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8" name="Text Box 248">
          <a:extLst>
            <a:ext uri="{FF2B5EF4-FFF2-40B4-BE49-F238E27FC236}">
              <a16:creationId xmlns:a16="http://schemas.microsoft.com/office/drawing/2014/main" id="{00000000-0008-0000-0800-00004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9" name="Text Box 249">
          <a:extLst>
            <a:ext uri="{FF2B5EF4-FFF2-40B4-BE49-F238E27FC236}">
              <a16:creationId xmlns:a16="http://schemas.microsoft.com/office/drawing/2014/main" id="{00000000-0008-0000-0800-00004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0" name="Text Box 250">
          <a:extLst>
            <a:ext uri="{FF2B5EF4-FFF2-40B4-BE49-F238E27FC236}">
              <a16:creationId xmlns:a16="http://schemas.microsoft.com/office/drawing/2014/main" id="{00000000-0008-0000-0800-00004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1" name="Text Box 251">
          <a:extLst>
            <a:ext uri="{FF2B5EF4-FFF2-40B4-BE49-F238E27FC236}">
              <a16:creationId xmlns:a16="http://schemas.microsoft.com/office/drawing/2014/main" id="{00000000-0008-0000-0800-00004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2" name="Text Box 252">
          <a:extLst>
            <a:ext uri="{FF2B5EF4-FFF2-40B4-BE49-F238E27FC236}">
              <a16:creationId xmlns:a16="http://schemas.microsoft.com/office/drawing/2014/main" id="{00000000-0008-0000-0800-00005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3" name="Text Box 253">
          <a:extLst>
            <a:ext uri="{FF2B5EF4-FFF2-40B4-BE49-F238E27FC236}">
              <a16:creationId xmlns:a16="http://schemas.microsoft.com/office/drawing/2014/main" id="{00000000-0008-0000-0800-00005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4" name="Text Box 254">
          <a:extLst>
            <a:ext uri="{FF2B5EF4-FFF2-40B4-BE49-F238E27FC236}">
              <a16:creationId xmlns:a16="http://schemas.microsoft.com/office/drawing/2014/main" id="{00000000-0008-0000-0800-00005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5" name="Text Box 255">
          <a:extLst>
            <a:ext uri="{FF2B5EF4-FFF2-40B4-BE49-F238E27FC236}">
              <a16:creationId xmlns:a16="http://schemas.microsoft.com/office/drawing/2014/main" id="{00000000-0008-0000-0800-00005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6" name="Text Box 256">
          <a:extLst>
            <a:ext uri="{FF2B5EF4-FFF2-40B4-BE49-F238E27FC236}">
              <a16:creationId xmlns:a16="http://schemas.microsoft.com/office/drawing/2014/main" id="{00000000-0008-0000-0800-00005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7" name="Text Box 257">
          <a:extLst>
            <a:ext uri="{FF2B5EF4-FFF2-40B4-BE49-F238E27FC236}">
              <a16:creationId xmlns:a16="http://schemas.microsoft.com/office/drawing/2014/main" id="{00000000-0008-0000-0800-00005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8" name="Text Box 258">
          <a:extLst>
            <a:ext uri="{FF2B5EF4-FFF2-40B4-BE49-F238E27FC236}">
              <a16:creationId xmlns:a16="http://schemas.microsoft.com/office/drawing/2014/main" id="{00000000-0008-0000-0800-00005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9" name="Text Box 259">
          <a:extLst>
            <a:ext uri="{FF2B5EF4-FFF2-40B4-BE49-F238E27FC236}">
              <a16:creationId xmlns:a16="http://schemas.microsoft.com/office/drawing/2014/main" id="{00000000-0008-0000-0800-00005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0" name="Text Box 260">
          <a:extLst>
            <a:ext uri="{FF2B5EF4-FFF2-40B4-BE49-F238E27FC236}">
              <a16:creationId xmlns:a16="http://schemas.microsoft.com/office/drawing/2014/main" id="{00000000-0008-0000-0800-00005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1" name="Text Box 261">
          <a:extLst>
            <a:ext uri="{FF2B5EF4-FFF2-40B4-BE49-F238E27FC236}">
              <a16:creationId xmlns:a16="http://schemas.microsoft.com/office/drawing/2014/main" id="{00000000-0008-0000-0800-00005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2" name="Text Box 262">
          <a:extLst>
            <a:ext uri="{FF2B5EF4-FFF2-40B4-BE49-F238E27FC236}">
              <a16:creationId xmlns:a16="http://schemas.microsoft.com/office/drawing/2014/main" id="{00000000-0008-0000-0800-00005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3" name="Text Box 263">
          <a:extLst>
            <a:ext uri="{FF2B5EF4-FFF2-40B4-BE49-F238E27FC236}">
              <a16:creationId xmlns:a16="http://schemas.microsoft.com/office/drawing/2014/main" id="{00000000-0008-0000-0800-00005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4" name="Text Box 264">
          <a:extLst>
            <a:ext uri="{FF2B5EF4-FFF2-40B4-BE49-F238E27FC236}">
              <a16:creationId xmlns:a16="http://schemas.microsoft.com/office/drawing/2014/main" id="{00000000-0008-0000-0800-00005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5" name="Text Box 265">
          <a:extLst>
            <a:ext uri="{FF2B5EF4-FFF2-40B4-BE49-F238E27FC236}">
              <a16:creationId xmlns:a16="http://schemas.microsoft.com/office/drawing/2014/main" id="{00000000-0008-0000-0800-00005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6" name="Text Box 266">
          <a:extLst>
            <a:ext uri="{FF2B5EF4-FFF2-40B4-BE49-F238E27FC236}">
              <a16:creationId xmlns:a16="http://schemas.microsoft.com/office/drawing/2014/main" id="{00000000-0008-0000-0800-00005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7" name="Text Box 267">
          <a:extLst>
            <a:ext uri="{FF2B5EF4-FFF2-40B4-BE49-F238E27FC236}">
              <a16:creationId xmlns:a16="http://schemas.microsoft.com/office/drawing/2014/main" id="{00000000-0008-0000-0800-00005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8" name="Text Box 268">
          <a:extLst>
            <a:ext uri="{FF2B5EF4-FFF2-40B4-BE49-F238E27FC236}">
              <a16:creationId xmlns:a16="http://schemas.microsoft.com/office/drawing/2014/main" id="{00000000-0008-0000-0800-00006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9" name="Text Box 269">
          <a:extLst>
            <a:ext uri="{FF2B5EF4-FFF2-40B4-BE49-F238E27FC236}">
              <a16:creationId xmlns:a16="http://schemas.microsoft.com/office/drawing/2014/main" id="{00000000-0008-0000-0800-00006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0" name="Text Box 270">
          <a:extLst>
            <a:ext uri="{FF2B5EF4-FFF2-40B4-BE49-F238E27FC236}">
              <a16:creationId xmlns:a16="http://schemas.microsoft.com/office/drawing/2014/main" id="{00000000-0008-0000-0800-00006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1" name="Text Box 271">
          <a:extLst>
            <a:ext uri="{FF2B5EF4-FFF2-40B4-BE49-F238E27FC236}">
              <a16:creationId xmlns:a16="http://schemas.microsoft.com/office/drawing/2014/main" id="{00000000-0008-0000-0800-00006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2" name="Text Box 272">
          <a:extLst>
            <a:ext uri="{FF2B5EF4-FFF2-40B4-BE49-F238E27FC236}">
              <a16:creationId xmlns:a16="http://schemas.microsoft.com/office/drawing/2014/main" id="{00000000-0008-0000-0800-00006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3" name="Text Box 273">
          <a:extLst>
            <a:ext uri="{FF2B5EF4-FFF2-40B4-BE49-F238E27FC236}">
              <a16:creationId xmlns:a16="http://schemas.microsoft.com/office/drawing/2014/main" id="{00000000-0008-0000-0800-00006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4" name="Text Box 274">
          <a:extLst>
            <a:ext uri="{FF2B5EF4-FFF2-40B4-BE49-F238E27FC236}">
              <a16:creationId xmlns:a16="http://schemas.microsoft.com/office/drawing/2014/main" id="{00000000-0008-0000-0800-00006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5" name="Text Box 275">
          <a:extLst>
            <a:ext uri="{FF2B5EF4-FFF2-40B4-BE49-F238E27FC236}">
              <a16:creationId xmlns:a16="http://schemas.microsoft.com/office/drawing/2014/main" id="{00000000-0008-0000-0800-00006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6" name="Text Box 276">
          <a:extLst>
            <a:ext uri="{FF2B5EF4-FFF2-40B4-BE49-F238E27FC236}">
              <a16:creationId xmlns:a16="http://schemas.microsoft.com/office/drawing/2014/main" id="{00000000-0008-0000-0800-00006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7" name="Text Box 277">
          <a:extLst>
            <a:ext uri="{FF2B5EF4-FFF2-40B4-BE49-F238E27FC236}">
              <a16:creationId xmlns:a16="http://schemas.microsoft.com/office/drawing/2014/main" id="{00000000-0008-0000-0800-00006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8" name="Text Box 278">
          <a:extLst>
            <a:ext uri="{FF2B5EF4-FFF2-40B4-BE49-F238E27FC236}">
              <a16:creationId xmlns:a16="http://schemas.microsoft.com/office/drawing/2014/main" id="{00000000-0008-0000-0800-00006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9" name="Text Box 279">
          <a:extLst>
            <a:ext uri="{FF2B5EF4-FFF2-40B4-BE49-F238E27FC236}">
              <a16:creationId xmlns:a16="http://schemas.microsoft.com/office/drawing/2014/main" id="{00000000-0008-0000-0800-00006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0" name="Text Box 280">
          <a:extLst>
            <a:ext uri="{FF2B5EF4-FFF2-40B4-BE49-F238E27FC236}">
              <a16:creationId xmlns:a16="http://schemas.microsoft.com/office/drawing/2014/main" id="{00000000-0008-0000-0800-00006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1" name="Text Box 281">
          <a:extLst>
            <a:ext uri="{FF2B5EF4-FFF2-40B4-BE49-F238E27FC236}">
              <a16:creationId xmlns:a16="http://schemas.microsoft.com/office/drawing/2014/main" id="{00000000-0008-0000-0800-00006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2" name="Text Box 282">
          <a:extLst>
            <a:ext uri="{FF2B5EF4-FFF2-40B4-BE49-F238E27FC236}">
              <a16:creationId xmlns:a16="http://schemas.microsoft.com/office/drawing/2014/main" id="{00000000-0008-0000-0800-00006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3" name="Text Box 283">
          <a:extLst>
            <a:ext uri="{FF2B5EF4-FFF2-40B4-BE49-F238E27FC236}">
              <a16:creationId xmlns:a16="http://schemas.microsoft.com/office/drawing/2014/main" id="{00000000-0008-0000-0800-00006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4" name="Text Box 284">
          <a:extLst>
            <a:ext uri="{FF2B5EF4-FFF2-40B4-BE49-F238E27FC236}">
              <a16:creationId xmlns:a16="http://schemas.microsoft.com/office/drawing/2014/main" id="{00000000-0008-0000-0800-00007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5" name="Text Box 285">
          <a:extLst>
            <a:ext uri="{FF2B5EF4-FFF2-40B4-BE49-F238E27FC236}">
              <a16:creationId xmlns:a16="http://schemas.microsoft.com/office/drawing/2014/main" id="{00000000-0008-0000-0800-00007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6" name="Text Box 286">
          <a:extLst>
            <a:ext uri="{FF2B5EF4-FFF2-40B4-BE49-F238E27FC236}">
              <a16:creationId xmlns:a16="http://schemas.microsoft.com/office/drawing/2014/main" id="{00000000-0008-0000-0800-00007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7" name="Text Box 287">
          <a:extLst>
            <a:ext uri="{FF2B5EF4-FFF2-40B4-BE49-F238E27FC236}">
              <a16:creationId xmlns:a16="http://schemas.microsoft.com/office/drawing/2014/main" id="{00000000-0008-0000-0800-00007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8" name="Text Box 288">
          <a:extLst>
            <a:ext uri="{FF2B5EF4-FFF2-40B4-BE49-F238E27FC236}">
              <a16:creationId xmlns:a16="http://schemas.microsoft.com/office/drawing/2014/main" id="{00000000-0008-0000-0800-00007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9" name="Text Box 289">
          <a:extLst>
            <a:ext uri="{FF2B5EF4-FFF2-40B4-BE49-F238E27FC236}">
              <a16:creationId xmlns:a16="http://schemas.microsoft.com/office/drawing/2014/main" id="{00000000-0008-0000-0800-00007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0" name="Text Box 290">
          <a:extLst>
            <a:ext uri="{FF2B5EF4-FFF2-40B4-BE49-F238E27FC236}">
              <a16:creationId xmlns:a16="http://schemas.microsoft.com/office/drawing/2014/main" id="{00000000-0008-0000-0800-00007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1" name="Text Box 291">
          <a:extLst>
            <a:ext uri="{FF2B5EF4-FFF2-40B4-BE49-F238E27FC236}">
              <a16:creationId xmlns:a16="http://schemas.microsoft.com/office/drawing/2014/main" id="{00000000-0008-0000-0800-00007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2" name="Text Box 292">
          <a:extLst>
            <a:ext uri="{FF2B5EF4-FFF2-40B4-BE49-F238E27FC236}">
              <a16:creationId xmlns:a16="http://schemas.microsoft.com/office/drawing/2014/main" id="{00000000-0008-0000-0800-00007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3" name="Text Box 293">
          <a:extLst>
            <a:ext uri="{FF2B5EF4-FFF2-40B4-BE49-F238E27FC236}">
              <a16:creationId xmlns:a16="http://schemas.microsoft.com/office/drawing/2014/main" id="{00000000-0008-0000-0800-00007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4" name="Text Box 294">
          <a:extLst>
            <a:ext uri="{FF2B5EF4-FFF2-40B4-BE49-F238E27FC236}">
              <a16:creationId xmlns:a16="http://schemas.microsoft.com/office/drawing/2014/main" id="{00000000-0008-0000-0800-00007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5" name="Text Box 295">
          <a:extLst>
            <a:ext uri="{FF2B5EF4-FFF2-40B4-BE49-F238E27FC236}">
              <a16:creationId xmlns:a16="http://schemas.microsoft.com/office/drawing/2014/main" id="{00000000-0008-0000-0800-00007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6" name="Text Box 296">
          <a:extLst>
            <a:ext uri="{FF2B5EF4-FFF2-40B4-BE49-F238E27FC236}">
              <a16:creationId xmlns:a16="http://schemas.microsoft.com/office/drawing/2014/main" id="{00000000-0008-0000-0800-00007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7" name="Text Box 297">
          <a:extLst>
            <a:ext uri="{FF2B5EF4-FFF2-40B4-BE49-F238E27FC236}">
              <a16:creationId xmlns:a16="http://schemas.microsoft.com/office/drawing/2014/main" id="{00000000-0008-0000-0800-00007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8" name="Text Box 298">
          <a:extLst>
            <a:ext uri="{FF2B5EF4-FFF2-40B4-BE49-F238E27FC236}">
              <a16:creationId xmlns:a16="http://schemas.microsoft.com/office/drawing/2014/main" id="{00000000-0008-0000-0800-00007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9" name="Text Box 299">
          <a:extLst>
            <a:ext uri="{FF2B5EF4-FFF2-40B4-BE49-F238E27FC236}">
              <a16:creationId xmlns:a16="http://schemas.microsoft.com/office/drawing/2014/main" id="{00000000-0008-0000-0800-00007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0" name="Text Box 300">
          <a:extLst>
            <a:ext uri="{FF2B5EF4-FFF2-40B4-BE49-F238E27FC236}">
              <a16:creationId xmlns:a16="http://schemas.microsoft.com/office/drawing/2014/main" id="{00000000-0008-0000-0800-00008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1" name="Text Box 301">
          <a:extLst>
            <a:ext uri="{FF2B5EF4-FFF2-40B4-BE49-F238E27FC236}">
              <a16:creationId xmlns:a16="http://schemas.microsoft.com/office/drawing/2014/main" id="{00000000-0008-0000-0800-00008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2" name="Text Box 302">
          <a:extLst>
            <a:ext uri="{FF2B5EF4-FFF2-40B4-BE49-F238E27FC236}">
              <a16:creationId xmlns:a16="http://schemas.microsoft.com/office/drawing/2014/main" id="{00000000-0008-0000-0800-00008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3" name="Text Box 303">
          <a:extLst>
            <a:ext uri="{FF2B5EF4-FFF2-40B4-BE49-F238E27FC236}">
              <a16:creationId xmlns:a16="http://schemas.microsoft.com/office/drawing/2014/main" id="{00000000-0008-0000-0800-00008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4" name="Text Box 304">
          <a:extLst>
            <a:ext uri="{FF2B5EF4-FFF2-40B4-BE49-F238E27FC236}">
              <a16:creationId xmlns:a16="http://schemas.microsoft.com/office/drawing/2014/main" id="{00000000-0008-0000-0800-00008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5" name="Text Box 305">
          <a:extLst>
            <a:ext uri="{FF2B5EF4-FFF2-40B4-BE49-F238E27FC236}">
              <a16:creationId xmlns:a16="http://schemas.microsoft.com/office/drawing/2014/main" id="{00000000-0008-0000-0800-00008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6" name="Text Box 306">
          <a:extLst>
            <a:ext uri="{FF2B5EF4-FFF2-40B4-BE49-F238E27FC236}">
              <a16:creationId xmlns:a16="http://schemas.microsoft.com/office/drawing/2014/main" id="{00000000-0008-0000-0800-00008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7" name="Text Box 307">
          <a:extLst>
            <a:ext uri="{FF2B5EF4-FFF2-40B4-BE49-F238E27FC236}">
              <a16:creationId xmlns:a16="http://schemas.microsoft.com/office/drawing/2014/main" id="{00000000-0008-0000-0800-00008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8" name="Text Box 308">
          <a:extLst>
            <a:ext uri="{FF2B5EF4-FFF2-40B4-BE49-F238E27FC236}">
              <a16:creationId xmlns:a16="http://schemas.microsoft.com/office/drawing/2014/main" id="{00000000-0008-0000-0800-00008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9" name="Text Box 309">
          <a:extLst>
            <a:ext uri="{FF2B5EF4-FFF2-40B4-BE49-F238E27FC236}">
              <a16:creationId xmlns:a16="http://schemas.microsoft.com/office/drawing/2014/main" id="{00000000-0008-0000-0800-00008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0" name="Text Box 310">
          <a:extLst>
            <a:ext uri="{FF2B5EF4-FFF2-40B4-BE49-F238E27FC236}">
              <a16:creationId xmlns:a16="http://schemas.microsoft.com/office/drawing/2014/main" id="{00000000-0008-0000-0800-00008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1" name="Text Box 311">
          <a:extLst>
            <a:ext uri="{FF2B5EF4-FFF2-40B4-BE49-F238E27FC236}">
              <a16:creationId xmlns:a16="http://schemas.microsoft.com/office/drawing/2014/main" id="{00000000-0008-0000-0800-00008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2" name="Text Box 312">
          <a:extLst>
            <a:ext uri="{FF2B5EF4-FFF2-40B4-BE49-F238E27FC236}">
              <a16:creationId xmlns:a16="http://schemas.microsoft.com/office/drawing/2014/main" id="{00000000-0008-0000-0800-00008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3" name="Text Box 313">
          <a:extLst>
            <a:ext uri="{FF2B5EF4-FFF2-40B4-BE49-F238E27FC236}">
              <a16:creationId xmlns:a16="http://schemas.microsoft.com/office/drawing/2014/main" id="{00000000-0008-0000-0800-00008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4" name="Text Box 314">
          <a:extLst>
            <a:ext uri="{FF2B5EF4-FFF2-40B4-BE49-F238E27FC236}">
              <a16:creationId xmlns:a16="http://schemas.microsoft.com/office/drawing/2014/main" id="{00000000-0008-0000-0800-00008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5" name="Text Box 315">
          <a:extLst>
            <a:ext uri="{FF2B5EF4-FFF2-40B4-BE49-F238E27FC236}">
              <a16:creationId xmlns:a16="http://schemas.microsoft.com/office/drawing/2014/main" id="{00000000-0008-0000-0800-00008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6" name="Text Box 316">
          <a:extLst>
            <a:ext uri="{FF2B5EF4-FFF2-40B4-BE49-F238E27FC236}">
              <a16:creationId xmlns:a16="http://schemas.microsoft.com/office/drawing/2014/main" id="{00000000-0008-0000-0800-00009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7" name="Text Box 317">
          <a:extLst>
            <a:ext uri="{FF2B5EF4-FFF2-40B4-BE49-F238E27FC236}">
              <a16:creationId xmlns:a16="http://schemas.microsoft.com/office/drawing/2014/main" id="{00000000-0008-0000-0800-00009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8" name="Text Box 318">
          <a:extLst>
            <a:ext uri="{FF2B5EF4-FFF2-40B4-BE49-F238E27FC236}">
              <a16:creationId xmlns:a16="http://schemas.microsoft.com/office/drawing/2014/main" id="{00000000-0008-0000-0800-00009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9" name="Text Box 319">
          <a:extLst>
            <a:ext uri="{FF2B5EF4-FFF2-40B4-BE49-F238E27FC236}">
              <a16:creationId xmlns:a16="http://schemas.microsoft.com/office/drawing/2014/main" id="{00000000-0008-0000-0800-00009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500" name="Text Box 320">
          <a:extLst>
            <a:ext uri="{FF2B5EF4-FFF2-40B4-BE49-F238E27FC236}">
              <a16:creationId xmlns:a16="http://schemas.microsoft.com/office/drawing/2014/main" id="{00000000-0008-0000-0800-00009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1" name="Text Box 28">
          <a:extLst>
            <a:ext uri="{FF2B5EF4-FFF2-40B4-BE49-F238E27FC236}">
              <a16:creationId xmlns:a16="http://schemas.microsoft.com/office/drawing/2014/main" id="{00000000-0008-0000-0800-00009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2" name="Text Box 29">
          <a:extLst>
            <a:ext uri="{FF2B5EF4-FFF2-40B4-BE49-F238E27FC236}">
              <a16:creationId xmlns:a16="http://schemas.microsoft.com/office/drawing/2014/main" id="{00000000-0008-0000-0800-00009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3" name="Text Box 30">
          <a:extLst>
            <a:ext uri="{FF2B5EF4-FFF2-40B4-BE49-F238E27FC236}">
              <a16:creationId xmlns:a16="http://schemas.microsoft.com/office/drawing/2014/main" id="{00000000-0008-0000-0800-00009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4" name="Text Box 31">
          <a:extLst>
            <a:ext uri="{FF2B5EF4-FFF2-40B4-BE49-F238E27FC236}">
              <a16:creationId xmlns:a16="http://schemas.microsoft.com/office/drawing/2014/main" id="{00000000-0008-0000-0800-00009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5" name="Text Box 32">
          <a:extLst>
            <a:ext uri="{FF2B5EF4-FFF2-40B4-BE49-F238E27FC236}">
              <a16:creationId xmlns:a16="http://schemas.microsoft.com/office/drawing/2014/main" id="{00000000-0008-0000-0800-00009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6" name="Text Box 33">
          <a:extLst>
            <a:ext uri="{FF2B5EF4-FFF2-40B4-BE49-F238E27FC236}">
              <a16:creationId xmlns:a16="http://schemas.microsoft.com/office/drawing/2014/main" id="{00000000-0008-0000-0800-00009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7" name="Text Box 34">
          <a:extLst>
            <a:ext uri="{FF2B5EF4-FFF2-40B4-BE49-F238E27FC236}">
              <a16:creationId xmlns:a16="http://schemas.microsoft.com/office/drawing/2014/main" id="{00000000-0008-0000-0800-00009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8" name="Text Box 35">
          <a:extLst>
            <a:ext uri="{FF2B5EF4-FFF2-40B4-BE49-F238E27FC236}">
              <a16:creationId xmlns:a16="http://schemas.microsoft.com/office/drawing/2014/main" id="{00000000-0008-0000-0800-00009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9" name="Text Box 36">
          <a:extLst>
            <a:ext uri="{FF2B5EF4-FFF2-40B4-BE49-F238E27FC236}">
              <a16:creationId xmlns:a16="http://schemas.microsoft.com/office/drawing/2014/main" id="{00000000-0008-0000-0800-00009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0" name="Text Box 37">
          <a:extLst>
            <a:ext uri="{FF2B5EF4-FFF2-40B4-BE49-F238E27FC236}">
              <a16:creationId xmlns:a16="http://schemas.microsoft.com/office/drawing/2014/main" id="{00000000-0008-0000-0800-00009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1" name="Text Box 38">
          <a:extLst>
            <a:ext uri="{FF2B5EF4-FFF2-40B4-BE49-F238E27FC236}">
              <a16:creationId xmlns:a16="http://schemas.microsoft.com/office/drawing/2014/main" id="{00000000-0008-0000-0800-00009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2" name="Text Box 39">
          <a:extLst>
            <a:ext uri="{FF2B5EF4-FFF2-40B4-BE49-F238E27FC236}">
              <a16:creationId xmlns:a16="http://schemas.microsoft.com/office/drawing/2014/main" id="{00000000-0008-0000-0800-0000A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3" name="Text Box 40">
          <a:extLst>
            <a:ext uri="{FF2B5EF4-FFF2-40B4-BE49-F238E27FC236}">
              <a16:creationId xmlns:a16="http://schemas.microsoft.com/office/drawing/2014/main" id="{00000000-0008-0000-0800-0000A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4" name="Text Box 41">
          <a:extLst>
            <a:ext uri="{FF2B5EF4-FFF2-40B4-BE49-F238E27FC236}">
              <a16:creationId xmlns:a16="http://schemas.microsoft.com/office/drawing/2014/main" id="{00000000-0008-0000-0800-0000A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5" name="Text Box 42">
          <a:extLst>
            <a:ext uri="{FF2B5EF4-FFF2-40B4-BE49-F238E27FC236}">
              <a16:creationId xmlns:a16="http://schemas.microsoft.com/office/drawing/2014/main" id="{00000000-0008-0000-0800-0000A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6" name="Text Box 43">
          <a:extLst>
            <a:ext uri="{FF2B5EF4-FFF2-40B4-BE49-F238E27FC236}">
              <a16:creationId xmlns:a16="http://schemas.microsoft.com/office/drawing/2014/main" id="{00000000-0008-0000-0800-0000A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7" name="Text Box 44">
          <a:extLst>
            <a:ext uri="{FF2B5EF4-FFF2-40B4-BE49-F238E27FC236}">
              <a16:creationId xmlns:a16="http://schemas.microsoft.com/office/drawing/2014/main" id="{00000000-0008-0000-0800-0000A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8" name="Text Box 45">
          <a:extLst>
            <a:ext uri="{FF2B5EF4-FFF2-40B4-BE49-F238E27FC236}">
              <a16:creationId xmlns:a16="http://schemas.microsoft.com/office/drawing/2014/main" id="{00000000-0008-0000-0800-0000A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9" name="Text Box 46">
          <a:extLst>
            <a:ext uri="{FF2B5EF4-FFF2-40B4-BE49-F238E27FC236}">
              <a16:creationId xmlns:a16="http://schemas.microsoft.com/office/drawing/2014/main" id="{00000000-0008-0000-0800-0000A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0" name="Text Box 47">
          <a:extLst>
            <a:ext uri="{FF2B5EF4-FFF2-40B4-BE49-F238E27FC236}">
              <a16:creationId xmlns:a16="http://schemas.microsoft.com/office/drawing/2014/main" id="{00000000-0008-0000-0800-0000A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1" name="Text Box 48">
          <a:extLst>
            <a:ext uri="{FF2B5EF4-FFF2-40B4-BE49-F238E27FC236}">
              <a16:creationId xmlns:a16="http://schemas.microsoft.com/office/drawing/2014/main" id="{00000000-0008-0000-0800-0000A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2" name="Text Box 49">
          <a:extLst>
            <a:ext uri="{FF2B5EF4-FFF2-40B4-BE49-F238E27FC236}">
              <a16:creationId xmlns:a16="http://schemas.microsoft.com/office/drawing/2014/main" id="{00000000-0008-0000-0800-0000A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3" name="Text Box 50">
          <a:extLst>
            <a:ext uri="{FF2B5EF4-FFF2-40B4-BE49-F238E27FC236}">
              <a16:creationId xmlns:a16="http://schemas.microsoft.com/office/drawing/2014/main" id="{00000000-0008-0000-0800-0000A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4" name="Text Box 51">
          <a:extLst>
            <a:ext uri="{FF2B5EF4-FFF2-40B4-BE49-F238E27FC236}">
              <a16:creationId xmlns:a16="http://schemas.microsoft.com/office/drawing/2014/main" id="{00000000-0008-0000-0800-0000A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5" name="Text Box 52">
          <a:extLst>
            <a:ext uri="{FF2B5EF4-FFF2-40B4-BE49-F238E27FC236}">
              <a16:creationId xmlns:a16="http://schemas.microsoft.com/office/drawing/2014/main" id="{00000000-0008-0000-0800-0000A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6" name="Text Box 53">
          <a:extLst>
            <a:ext uri="{FF2B5EF4-FFF2-40B4-BE49-F238E27FC236}">
              <a16:creationId xmlns:a16="http://schemas.microsoft.com/office/drawing/2014/main" id="{00000000-0008-0000-0800-0000A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7" name="Text Box 54">
          <a:extLst>
            <a:ext uri="{FF2B5EF4-FFF2-40B4-BE49-F238E27FC236}">
              <a16:creationId xmlns:a16="http://schemas.microsoft.com/office/drawing/2014/main" id="{00000000-0008-0000-0800-0000A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8" name="Text Box 55">
          <a:extLst>
            <a:ext uri="{FF2B5EF4-FFF2-40B4-BE49-F238E27FC236}">
              <a16:creationId xmlns:a16="http://schemas.microsoft.com/office/drawing/2014/main" id="{00000000-0008-0000-0800-0000B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9" name="Text Box 56">
          <a:extLst>
            <a:ext uri="{FF2B5EF4-FFF2-40B4-BE49-F238E27FC236}">
              <a16:creationId xmlns:a16="http://schemas.microsoft.com/office/drawing/2014/main" id="{00000000-0008-0000-0800-0000B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0" name="Text Box 57">
          <a:extLst>
            <a:ext uri="{FF2B5EF4-FFF2-40B4-BE49-F238E27FC236}">
              <a16:creationId xmlns:a16="http://schemas.microsoft.com/office/drawing/2014/main" id="{00000000-0008-0000-0800-0000B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1" name="Text Box 58">
          <a:extLst>
            <a:ext uri="{FF2B5EF4-FFF2-40B4-BE49-F238E27FC236}">
              <a16:creationId xmlns:a16="http://schemas.microsoft.com/office/drawing/2014/main" id="{00000000-0008-0000-0800-0000B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2" name="Text Box 59">
          <a:extLst>
            <a:ext uri="{FF2B5EF4-FFF2-40B4-BE49-F238E27FC236}">
              <a16:creationId xmlns:a16="http://schemas.microsoft.com/office/drawing/2014/main" id="{00000000-0008-0000-0800-0000B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3" name="Text Box 60">
          <a:extLst>
            <a:ext uri="{FF2B5EF4-FFF2-40B4-BE49-F238E27FC236}">
              <a16:creationId xmlns:a16="http://schemas.microsoft.com/office/drawing/2014/main" id="{00000000-0008-0000-0800-0000B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4" name="Text Box 61">
          <a:extLst>
            <a:ext uri="{FF2B5EF4-FFF2-40B4-BE49-F238E27FC236}">
              <a16:creationId xmlns:a16="http://schemas.microsoft.com/office/drawing/2014/main" id="{00000000-0008-0000-0800-0000B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5" name="Text Box 62">
          <a:extLst>
            <a:ext uri="{FF2B5EF4-FFF2-40B4-BE49-F238E27FC236}">
              <a16:creationId xmlns:a16="http://schemas.microsoft.com/office/drawing/2014/main" id="{00000000-0008-0000-0800-0000B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6" name="Text Box 63">
          <a:extLst>
            <a:ext uri="{FF2B5EF4-FFF2-40B4-BE49-F238E27FC236}">
              <a16:creationId xmlns:a16="http://schemas.microsoft.com/office/drawing/2014/main" id="{00000000-0008-0000-0800-0000B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7" name="Text Box 64">
          <a:extLst>
            <a:ext uri="{FF2B5EF4-FFF2-40B4-BE49-F238E27FC236}">
              <a16:creationId xmlns:a16="http://schemas.microsoft.com/office/drawing/2014/main" id="{00000000-0008-0000-0800-0000B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8" name="Text Box 65">
          <a:extLst>
            <a:ext uri="{FF2B5EF4-FFF2-40B4-BE49-F238E27FC236}">
              <a16:creationId xmlns:a16="http://schemas.microsoft.com/office/drawing/2014/main" id="{00000000-0008-0000-0800-0000B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9" name="Text Box 66">
          <a:extLst>
            <a:ext uri="{FF2B5EF4-FFF2-40B4-BE49-F238E27FC236}">
              <a16:creationId xmlns:a16="http://schemas.microsoft.com/office/drawing/2014/main" id="{00000000-0008-0000-0800-0000B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0" name="Text Box 67">
          <a:extLst>
            <a:ext uri="{FF2B5EF4-FFF2-40B4-BE49-F238E27FC236}">
              <a16:creationId xmlns:a16="http://schemas.microsoft.com/office/drawing/2014/main" id="{00000000-0008-0000-0800-0000B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1" name="Text Box 68">
          <a:extLst>
            <a:ext uri="{FF2B5EF4-FFF2-40B4-BE49-F238E27FC236}">
              <a16:creationId xmlns:a16="http://schemas.microsoft.com/office/drawing/2014/main" id="{00000000-0008-0000-0800-0000B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2" name="Text Box 69">
          <a:extLst>
            <a:ext uri="{FF2B5EF4-FFF2-40B4-BE49-F238E27FC236}">
              <a16:creationId xmlns:a16="http://schemas.microsoft.com/office/drawing/2014/main" id="{00000000-0008-0000-0800-0000B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3" name="Text Box 70">
          <a:extLst>
            <a:ext uri="{FF2B5EF4-FFF2-40B4-BE49-F238E27FC236}">
              <a16:creationId xmlns:a16="http://schemas.microsoft.com/office/drawing/2014/main" id="{00000000-0008-0000-0800-0000B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4" name="Text Box 71">
          <a:extLst>
            <a:ext uri="{FF2B5EF4-FFF2-40B4-BE49-F238E27FC236}">
              <a16:creationId xmlns:a16="http://schemas.microsoft.com/office/drawing/2014/main" id="{00000000-0008-0000-0800-0000C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5" name="Text Box 72">
          <a:extLst>
            <a:ext uri="{FF2B5EF4-FFF2-40B4-BE49-F238E27FC236}">
              <a16:creationId xmlns:a16="http://schemas.microsoft.com/office/drawing/2014/main" id="{00000000-0008-0000-0800-0000C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6" name="Text Box 73">
          <a:extLst>
            <a:ext uri="{FF2B5EF4-FFF2-40B4-BE49-F238E27FC236}">
              <a16:creationId xmlns:a16="http://schemas.microsoft.com/office/drawing/2014/main" id="{00000000-0008-0000-0800-0000C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7" name="Text Box 74">
          <a:extLst>
            <a:ext uri="{FF2B5EF4-FFF2-40B4-BE49-F238E27FC236}">
              <a16:creationId xmlns:a16="http://schemas.microsoft.com/office/drawing/2014/main" id="{00000000-0008-0000-0800-0000C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8" name="Text Box 75">
          <a:extLst>
            <a:ext uri="{FF2B5EF4-FFF2-40B4-BE49-F238E27FC236}">
              <a16:creationId xmlns:a16="http://schemas.microsoft.com/office/drawing/2014/main" id="{00000000-0008-0000-0800-0000C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9" name="Text Box 76">
          <a:extLst>
            <a:ext uri="{FF2B5EF4-FFF2-40B4-BE49-F238E27FC236}">
              <a16:creationId xmlns:a16="http://schemas.microsoft.com/office/drawing/2014/main" id="{00000000-0008-0000-0800-0000C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0" name="Text Box 77">
          <a:extLst>
            <a:ext uri="{FF2B5EF4-FFF2-40B4-BE49-F238E27FC236}">
              <a16:creationId xmlns:a16="http://schemas.microsoft.com/office/drawing/2014/main" id="{00000000-0008-0000-0800-0000C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1" name="Text Box 78">
          <a:extLst>
            <a:ext uri="{FF2B5EF4-FFF2-40B4-BE49-F238E27FC236}">
              <a16:creationId xmlns:a16="http://schemas.microsoft.com/office/drawing/2014/main" id="{00000000-0008-0000-0800-0000C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2" name="Text Box 79">
          <a:extLst>
            <a:ext uri="{FF2B5EF4-FFF2-40B4-BE49-F238E27FC236}">
              <a16:creationId xmlns:a16="http://schemas.microsoft.com/office/drawing/2014/main" id="{00000000-0008-0000-0800-0000C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3" name="Text Box 80">
          <a:extLst>
            <a:ext uri="{FF2B5EF4-FFF2-40B4-BE49-F238E27FC236}">
              <a16:creationId xmlns:a16="http://schemas.microsoft.com/office/drawing/2014/main" id="{00000000-0008-0000-0800-0000C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4" name="Text Box 81">
          <a:extLst>
            <a:ext uri="{FF2B5EF4-FFF2-40B4-BE49-F238E27FC236}">
              <a16:creationId xmlns:a16="http://schemas.microsoft.com/office/drawing/2014/main" id="{00000000-0008-0000-0800-0000C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5" name="Text Box 82">
          <a:extLst>
            <a:ext uri="{FF2B5EF4-FFF2-40B4-BE49-F238E27FC236}">
              <a16:creationId xmlns:a16="http://schemas.microsoft.com/office/drawing/2014/main" id="{00000000-0008-0000-0800-0000C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6" name="Text Box 83">
          <a:extLst>
            <a:ext uri="{FF2B5EF4-FFF2-40B4-BE49-F238E27FC236}">
              <a16:creationId xmlns:a16="http://schemas.microsoft.com/office/drawing/2014/main" id="{00000000-0008-0000-0800-0000C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7" name="Text Box 84">
          <a:extLst>
            <a:ext uri="{FF2B5EF4-FFF2-40B4-BE49-F238E27FC236}">
              <a16:creationId xmlns:a16="http://schemas.microsoft.com/office/drawing/2014/main" id="{00000000-0008-0000-0800-0000C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8" name="Text Box 85">
          <a:extLst>
            <a:ext uri="{FF2B5EF4-FFF2-40B4-BE49-F238E27FC236}">
              <a16:creationId xmlns:a16="http://schemas.microsoft.com/office/drawing/2014/main" id="{00000000-0008-0000-0800-0000C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9" name="Text Box 86">
          <a:extLst>
            <a:ext uri="{FF2B5EF4-FFF2-40B4-BE49-F238E27FC236}">
              <a16:creationId xmlns:a16="http://schemas.microsoft.com/office/drawing/2014/main" id="{00000000-0008-0000-0800-0000C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0" name="Text Box 87">
          <a:extLst>
            <a:ext uri="{FF2B5EF4-FFF2-40B4-BE49-F238E27FC236}">
              <a16:creationId xmlns:a16="http://schemas.microsoft.com/office/drawing/2014/main" id="{00000000-0008-0000-0800-0000D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1" name="Text Box 88">
          <a:extLst>
            <a:ext uri="{FF2B5EF4-FFF2-40B4-BE49-F238E27FC236}">
              <a16:creationId xmlns:a16="http://schemas.microsoft.com/office/drawing/2014/main" id="{00000000-0008-0000-0800-0000D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2" name="Text Box 89">
          <a:extLst>
            <a:ext uri="{FF2B5EF4-FFF2-40B4-BE49-F238E27FC236}">
              <a16:creationId xmlns:a16="http://schemas.microsoft.com/office/drawing/2014/main" id="{00000000-0008-0000-0800-0000D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3" name="Text Box 90">
          <a:extLst>
            <a:ext uri="{FF2B5EF4-FFF2-40B4-BE49-F238E27FC236}">
              <a16:creationId xmlns:a16="http://schemas.microsoft.com/office/drawing/2014/main" id="{00000000-0008-0000-0800-0000D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4" name="Text Box 91">
          <a:extLst>
            <a:ext uri="{FF2B5EF4-FFF2-40B4-BE49-F238E27FC236}">
              <a16:creationId xmlns:a16="http://schemas.microsoft.com/office/drawing/2014/main" id="{00000000-0008-0000-0800-0000D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5" name="Text Box 92">
          <a:extLst>
            <a:ext uri="{FF2B5EF4-FFF2-40B4-BE49-F238E27FC236}">
              <a16:creationId xmlns:a16="http://schemas.microsoft.com/office/drawing/2014/main" id="{00000000-0008-0000-0800-0000D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6" name="Text Box 93">
          <a:extLst>
            <a:ext uri="{FF2B5EF4-FFF2-40B4-BE49-F238E27FC236}">
              <a16:creationId xmlns:a16="http://schemas.microsoft.com/office/drawing/2014/main" id="{00000000-0008-0000-0800-0000D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7" name="Text Box 94">
          <a:extLst>
            <a:ext uri="{FF2B5EF4-FFF2-40B4-BE49-F238E27FC236}">
              <a16:creationId xmlns:a16="http://schemas.microsoft.com/office/drawing/2014/main" id="{00000000-0008-0000-0800-0000D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8" name="Text Box 95">
          <a:extLst>
            <a:ext uri="{FF2B5EF4-FFF2-40B4-BE49-F238E27FC236}">
              <a16:creationId xmlns:a16="http://schemas.microsoft.com/office/drawing/2014/main" id="{00000000-0008-0000-0800-0000D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9" name="Text Box 96">
          <a:extLst>
            <a:ext uri="{FF2B5EF4-FFF2-40B4-BE49-F238E27FC236}">
              <a16:creationId xmlns:a16="http://schemas.microsoft.com/office/drawing/2014/main" id="{00000000-0008-0000-0800-0000D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70" name="Text Box 97">
          <a:extLst>
            <a:ext uri="{FF2B5EF4-FFF2-40B4-BE49-F238E27FC236}">
              <a16:creationId xmlns:a16="http://schemas.microsoft.com/office/drawing/2014/main" id="{00000000-0008-0000-0800-0000D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1" name="Text Box 100">
          <a:extLst>
            <a:ext uri="{FF2B5EF4-FFF2-40B4-BE49-F238E27FC236}">
              <a16:creationId xmlns:a16="http://schemas.microsoft.com/office/drawing/2014/main" id="{00000000-0008-0000-0800-0000D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2" name="Text Box 101">
          <a:extLst>
            <a:ext uri="{FF2B5EF4-FFF2-40B4-BE49-F238E27FC236}">
              <a16:creationId xmlns:a16="http://schemas.microsoft.com/office/drawing/2014/main" id="{00000000-0008-0000-0800-0000D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3" name="Text Box 102">
          <a:extLst>
            <a:ext uri="{FF2B5EF4-FFF2-40B4-BE49-F238E27FC236}">
              <a16:creationId xmlns:a16="http://schemas.microsoft.com/office/drawing/2014/main" id="{00000000-0008-0000-0800-0000D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4" name="Text Box 103">
          <a:extLst>
            <a:ext uri="{FF2B5EF4-FFF2-40B4-BE49-F238E27FC236}">
              <a16:creationId xmlns:a16="http://schemas.microsoft.com/office/drawing/2014/main" id="{00000000-0008-0000-0800-0000D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5" name="Text Box 104">
          <a:extLst>
            <a:ext uri="{FF2B5EF4-FFF2-40B4-BE49-F238E27FC236}">
              <a16:creationId xmlns:a16="http://schemas.microsoft.com/office/drawing/2014/main" id="{00000000-0008-0000-0800-0000D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6" name="Text Box 105">
          <a:extLst>
            <a:ext uri="{FF2B5EF4-FFF2-40B4-BE49-F238E27FC236}">
              <a16:creationId xmlns:a16="http://schemas.microsoft.com/office/drawing/2014/main" id="{00000000-0008-0000-0800-0000E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7" name="Text Box 106">
          <a:extLst>
            <a:ext uri="{FF2B5EF4-FFF2-40B4-BE49-F238E27FC236}">
              <a16:creationId xmlns:a16="http://schemas.microsoft.com/office/drawing/2014/main" id="{00000000-0008-0000-0800-0000E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8" name="Text Box 107">
          <a:extLst>
            <a:ext uri="{FF2B5EF4-FFF2-40B4-BE49-F238E27FC236}">
              <a16:creationId xmlns:a16="http://schemas.microsoft.com/office/drawing/2014/main" id="{00000000-0008-0000-0800-0000E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9" name="Text Box 108">
          <a:extLst>
            <a:ext uri="{FF2B5EF4-FFF2-40B4-BE49-F238E27FC236}">
              <a16:creationId xmlns:a16="http://schemas.microsoft.com/office/drawing/2014/main" id="{00000000-0008-0000-0800-0000E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0" name="Text Box 109">
          <a:extLst>
            <a:ext uri="{FF2B5EF4-FFF2-40B4-BE49-F238E27FC236}">
              <a16:creationId xmlns:a16="http://schemas.microsoft.com/office/drawing/2014/main" id="{00000000-0008-0000-0800-0000E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1" name="Text Box 110">
          <a:extLst>
            <a:ext uri="{FF2B5EF4-FFF2-40B4-BE49-F238E27FC236}">
              <a16:creationId xmlns:a16="http://schemas.microsoft.com/office/drawing/2014/main" id="{00000000-0008-0000-0800-0000E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2" name="Text Box 111">
          <a:extLst>
            <a:ext uri="{FF2B5EF4-FFF2-40B4-BE49-F238E27FC236}">
              <a16:creationId xmlns:a16="http://schemas.microsoft.com/office/drawing/2014/main" id="{00000000-0008-0000-0800-0000E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3" name="Text Box 119">
          <a:extLst>
            <a:ext uri="{FF2B5EF4-FFF2-40B4-BE49-F238E27FC236}">
              <a16:creationId xmlns:a16="http://schemas.microsoft.com/office/drawing/2014/main" id="{00000000-0008-0000-0800-0000E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4" name="Text Box 120">
          <a:extLst>
            <a:ext uri="{FF2B5EF4-FFF2-40B4-BE49-F238E27FC236}">
              <a16:creationId xmlns:a16="http://schemas.microsoft.com/office/drawing/2014/main" id="{00000000-0008-0000-0800-0000E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5" name="Text Box 121">
          <a:extLst>
            <a:ext uri="{FF2B5EF4-FFF2-40B4-BE49-F238E27FC236}">
              <a16:creationId xmlns:a16="http://schemas.microsoft.com/office/drawing/2014/main" id="{00000000-0008-0000-0800-0000E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6" name="Text Box 122">
          <a:extLst>
            <a:ext uri="{FF2B5EF4-FFF2-40B4-BE49-F238E27FC236}">
              <a16:creationId xmlns:a16="http://schemas.microsoft.com/office/drawing/2014/main" id="{00000000-0008-0000-0800-0000E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7" name="Text Box 123">
          <a:extLst>
            <a:ext uri="{FF2B5EF4-FFF2-40B4-BE49-F238E27FC236}">
              <a16:creationId xmlns:a16="http://schemas.microsoft.com/office/drawing/2014/main" id="{00000000-0008-0000-0800-0000E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8" name="Text Box 124">
          <a:extLst>
            <a:ext uri="{FF2B5EF4-FFF2-40B4-BE49-F238E27FC236}">
              <a16:creationId xmlns:a16="http://schemas.microsoft.com/office/drawing/2014/main" id="{00000000-0008-0000-0800-0000E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9" name="Text Box 125">
          <a:extLst>
            <a:ext uri="{FF2B5EF4-FFF2-40B4-BE49-F238E27FC236}">
              <a16:creationId xmlns:a16="http://schemas.microsoft.com/office/drawing/2014/main" id="{00000000-0008-0000-0800-0000E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0" name="Text Box 126">
          <a:extLst>
            <a:ext uri="{FF2B5EF4-FFF2-40B4-BE49-F238E27FC236}">
              <a16:creationId xmlns:a16="http://schemas.microsoft.com/office/drawing/2014/main" id="{00000000-0008-0000-0800-0000E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1" name="Text Box 127">
          <a:extLst>
            <a:ext uri="{FF2B5EF4-FFF2-40B4-BE49-F238E27FC236}">
              <a16:creationId xmlns:a16="http://schemas.microsoft.com/office/drawing/2014/main" id="{00000000-0008-0000-0800-0000E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2" name="Text Box 128">
          <a:extLst>
            <a:ext uri="{FF2B5EF4-FFF2-40B4-BE49-F238E27FC236}">
              <a16:creationId xmlns:a16="http://schemas.microsoft.com/office/drawing/2014/main" id="{00000000-0008-0000-0800-0000F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3" name="Text Box 129">
          <a:extLst>
            <a:ext uri="{FF2B5EF4-FFF2-40B4-BE49-F238E27FC236}">
              <a16:creationId xmlns:a16="http://schemas.microsoft.com/office/drawing/2014/main" id="{00000000-0008-0000-0800-0000F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4" name="Text Box 130">
          <a:extLst>
            <a:ext uri="{FF2B5EF4-FFF2-40B4-BE49-F238E27FC236}">
              <a16:creationId xmlns:a16="http://schemas.microsoft.com/office/drawing/2014/main" id="{00000000-0008-0000-0800-0000F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5" name="Text Box 133">
          <a:extLst>
            <a:ext uri="{FF2B5EF4-FFF2-40B4-BE49-F238E27FC236}">
              <a16:creationId xmlns:a16="http://schemas.microsoft.com/office/drawing/2014/main" id="{00000000-0008-0000-0800-0000F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6" name="Text Box 134">
          <a:extLst>
            <a:ext uri="{FF2B5EF4-FFF2-40B4-BE49-F238E27FC236}">
              <a16:creationId xmlns:a16="http://schemas.microsoft.com/office/drawing/2014/main" id="{00000000-0008-0000-0800-0000F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7" name="Text Box 135">
          <a:extLst>
            <a:ext uri="{FF2B5EF4-FFF2-40B4-BE49-F238E27FC236}">
              <a16:creationId xmlns:a16="http://schemas.microsoft.com/office/drawing/2014/main" id="{00000000-0008-0000-0800-0000F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8" name="Text Box 136">
          <a:extLst>
            <a:ext uri="{FF2B5EF4-FFF2-40B4-BE49-F238E27FC236}">
              <a16:creationId xmlns:a16="http://schemas.microsoft.com/office/drawing/2014/main" id="{00000000-0008-0000-0800-0000F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9" name="Text Box 137">
          <a:extLst>
            <a:ext uri="{FF2B5EF4-FFF2-40B4-BE49-F238E27FC236}">
              <a16:creationId xmlns:a16="http://schemas.microsoft.com/office/drawing/2014/main" id="{00000000-0008-0000-0800-0000F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0" name="Text Box 138">
          <a:extLst>
            <a:ext uri="{FF2B5EF4-FFF2-40B4-BE49-F238E27FC236}">
              <a16:creationId xmlns:a16="http://schemas.microsoft.com/office/drawing/2014/main" id="{00000000-0008-0000-0800-0000F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1" name="Text Box 139">
          <a:extLst>
            <a:ext uri="{FF2B5EF4-FFF2-40B4-BE49-F238E27FC236}">
              <a16:creationId xmlns:a16="http://schemas.microsoft.com/office/drawing/2014/main" id="{00000000-0008-0000-0800-0000F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2" name="Text Box 140">
          <a:extLst>
            <a:ext uri="{FF2B5EF4-FFF2-40B4-BE49-F238E27FC236}">
              <a16:creationId xmlns:a16="http://schemas.microsoft.com/office/drawing/2014/main" id="{00000000-0008-0000-0800-0000F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3" name="Text Box 141">
          <a:extLst>
            <a:ext uri="{FF2B5EF4-FFF2-40B4-BE49-F238E27FC236}">
              <a16:creationId xmlns:a16="http://schemas.microsoft.com/office/drawing/2014/main" id="{00000000-0008-0000-0800-0000F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4" name="Text Box 142">
          <a:extLst>
            <a:ext uri="{FF2B5EF4-FFF2-40B4-BE49-F238E27FC236}">
              <a16:creationId xmlns:a16="http://schemas.microsoft.com/office/drawing/2014/main" id="{00000000-0008-0000-0800-0000F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5" name="Text Box 143">
          <a:extLst>
            <a:ext uri="{FF2B5EF4-FFF2-40B4-BE49-F238E27FC236}">
              <a16:creationId xmlns:a16="http://schemas.microsoft.com/office/drawing/2014/main" id="{00000000-0008-0000-0800-0000F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6" name="Text Box 144">
          <a:extLst>
            <a:ext uri="{FF2B5EF4-FFF2-40B4-BE49-F238E27FC236}">
              <a16:creationId xmlns:a16="http://schemas.microsoft.com/office/drawing/2014/main" id="{00000000-0008-0000-0800-0000F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7" name="Text Box 145">
          <a:extLst>
            <a:ext uri="{FF2B5EF4-FFF2-40B4-BE49-F238E27FC236}">
              <a16:creationId xmlns:a16="http://schemas.microsoft.com/office/drawing/2014/main" id="{00000000-0008-0000-0800-0000F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8" name="Text Box 146">
          <a:extLst>
            <a:ext uri="{FF2B5EF4-FFF2-40B4-BE49-F238E27FC236}">
              <a16:creationId xmlns:a16="http://schemas.microsoft.com/office/drawing/2014/main" id="{00000000-0008-0000-0800-00000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9" name="Text Box 147">
          <a:extLst>
            <a:ext uri="{FF2B5EF4-FFF2-40B4-BE49-F238E27FC236}">
              <a16:creationId xmlns:a16="http://schemas.microsoft.com/office/drawing/2014/main" id="{00000000-0008-0000-0800-00000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0" name="Text Box 148">
          <a:extLst>
            <a:ext uri="{FF2B5EF4-FFF2-40B4-BE49-F238E27FC236}">
              <a16:creationId xmlns:a16="http://schemas.microsoft.com/office/drawing/2014/main" id="{00000000-0008-0000-0800-00000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1" name="Text Box 149">
          <a:extLst>
            <a:ext uri="{FF2B5EF4-FFF2-40B4-BE49-F238E27FC236}">
              <a16:creationId xmlns:a16="http://schemas.microsoft.com/office/drawing/2014/main" id="{00000000-0008-0000-0800-00000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2" name="Text Box 150">
          <a:extLst>
            <a:ext uri="{FF2B5EF4-FFF2-40B4-BE49-F238E27FC236}">
              <a16:creationId xmlns:a16="http://schemas.microsoft.com/office/drawing/2014/main" id="{00000000-0008-0000-0800-00000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3" name="Text Box 151">
          <a:extLst>
            <a:ext uri="{FF2B5EF4-FFF2-40B4-BE49-F238E27FC236}">
              <a16:creationId xmlns:a16="http://schemas.microsoft.com/office/drawing/2014/main" id="{00000000-0008-0000-0800-00000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4" name="Text Box 152">
          <a:extLst>
            <a:ext uri="{FF2B5EF4-FFF2-40B4-BE49-F238E27FC236}">
              <a16:creationId xmlns:a16="http://schemas.microsoft.com/office/drawing/2014/main" id="{00000000-0008-0000-0800-00000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5" name="Text Box 153">
          <a:extLst>
            <a:ext uri="{FF2B5EF4-FFF2-40B4-BE49-F238E27FC236}">
              <a16:creationId xmlns:a16="http://schemas.microsoft.com/office/drawing/2014/main" id="{00000000-0008-0000-0800-00000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6" name="Text Box 154">
          <a:extLst>
            <a:ext uri="{FF2B5EF4-FFF2-40B4-BE49-F238E27FC236}">
              <a16:creationId xmlns:a16="http://schemas.microsoft.com/office/drawing/2014/main" id="{00000000-0008-0000-0800-00000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7" name="Text Box 155">
          <a:extLst>
            <a:ext uri="{FF2B5EF4-FFF2-40B4-BE49-F238E27FC236}">
              <a16:creationId xmlns:a16="http://schemas.microsoft.com/office/drawing/2014/main" id="{00000000-0008-0000-0800-00000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8" name="Text Box 156">
          <a:extLst>
            <a:ext uri="{FF2B5EF4-FFF2-40B4-BE49-F238E27FC236}">
              <a16:creationId xmlns:a16="http://schemas.microsoft.com/office/drawing/2014/main" id="{00000000-0008-0000-0800-00000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9" name="Text Box 157">
          <a:extLst>
            <a:ext uri="{FF2B5EF4-FFF2-40B4-BE49-F238E27FC236}">
              <a16:creationId xmlns:a16="http://schemas.microsoft.com/office/drawing/2014/main" id="{00000000-0008-0000-0800-00000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0" name="Text Box 158">
          <a:extLst>
            <a:ext uri="{FF2B5EF4-FFF2-40B4-BE49-F238E27FC236}">
              <a16:creationId xmlns:a16="http://schemas.microsoft.com/office/drawing/2014/main" id="{00000000-0008-0000-0800-00000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1" name="Text Box 159">
          <a:extLst>
            <a:ext uri="{FF2B5EF4-FFF2-40B4-BE49-F238E27FC236}">
              <a16:creationId xmlns:a16="http://schemas.microsoft.com/office/drawing/2014/main" id="{00000000-0008-0000-0800-00000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2" name="Text Box 160">
          <a:extLst>
            <a:ext uri="{FF2B5EF4-FFF2-40B4-BE49-F238E27FC236}">
              <a16:creationId xmlns:a16="http://schemas.microsoft.com/office/drawing/2014/main" id="{00000000-0008-0000-0800-00000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3" name="Text Box 161">
          <a:extLst>
            <a:ext uri="{FF2B5EF4-FFF2-40B4-BE49-F238E27FC236}">
              <a16:creationId xmlns:a16="http://schemas.microsoft.com/office/drawing/2014/main" id="{00000000-0008-0000-0800-00000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4" name="Text Box 162">
          <a:extLst>
            <a:ext uri="{FF2B5EF4-FFF2-40B4-BE49-F238E27FC236}">
              <a16:creationId xmlns:a16="http://schemas.microsoft.com/office/drawing/2014/main" id="{00000000-0008-0000-0800-00001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5" name="Text Box 163">
          <a:extLst>
            <a:ext uri="{FF2B5EF4-FFF2-40B4-BE49-F238E27FC236}">
              <a16:creationId xmlns:a16="http://schemas.microsoft.com/office/drawing/2014/main" id="{00000000-0008-0000-0800-00001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6" name="Text Box 164">
          <a:extLst>
            <a:ext uri="{FF2B5EF4-FFF2-40B4-BE49-F238E27FC236}">
              <a16:creationId xmlns:a16="http://schemas.microsoft.com/office/drawing/2014/main" id="{00000000-0008-0000-0800-00001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7" name="Text Box 165">
          <a:extLst>
            <a:ext uri="{FF2B5EF4-FFF2-40B4-BE49-F238E27FC236}">
              <a16:creationId xmlns:a16="http://schemas.microsoft.com/office/drawing/2014/main" id="{00000000-0008-0000-0800-00001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8" name="Text Box 166">
          <a:extLst>
            <a:ext uri="{FF2B5EF4-FFF2-40B4-BE49-F238E27FC236}">
              <a16:creationId xmlns:a16="http://schemas.microsoft.com/office/drawing/2014/main" id="{00000000-0008-0000-0800-00001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9" name="Text Box 167">
          <a:extLst>
            <a:ext uri="{FF2B5EF4-FFF2-40B4-BE49-F238E27FC236}">
              <a16:creationId xmlns:a16="http://schemas.microsoft.com/office/drawing/2014/main" id="{00000000-0008-0000-0800-00001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0" name="Text Box 168">
          <a:extLst>
            <a:ext uri="{FF2B5EF4-FFF2-40B4-BE49-F238E27FC236}">
              <a16:creationId xmlns:a16="http://schemas.microsoft.com/office/drawing/2014/main" id="{00000000-0008-0000-0800-00001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1" name="Text Box 169">
          <a:extLst>
            <a:ext uri="{FF2B5EF4-FFF2-40B4-BE49-F238E27FC236}">
              <a16:creationId xmlns:a16="http://schemas.microsoft.com/office/drawing/2014/main" id="{00000000-0008-0000-0800-00001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2" name="Text Box 170">
          <a:extLst>
            <a:ext uri="{FF2B5EF4-FFF2-40B4-BE49-F238E27FC236}">
              <a16:creationId xmlns:a16="http://schemas.microsoft.com/office/drawing/2014/main" id="{00000000-0008-0000-0800-00001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3" name="Text Box 171">
          <a:extLst>
            <a:ext uri="{FF2B5EF4-FFF2-40B4-BE49-F238E27FC236}">
              <a16:creationId xmlns:a16="http://schemas.microsoft.com/office/drawing/2014/main" id="{00000000-0008-0000-0800-00001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4" name="Text Box 172">
          <a:extLst>
            <a:ext uri="{FF2B5EF4-FFF2-40B4-BE49-F238E27FC236}">
              <a16:creationId xmlns:a16="http://schemas.microsoft.com/office/drawing/2014/main" id="{00000000-0008-0000-0800-00001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5" name="Text Box 173">
          <a:extLst>
            <a:ext uri="{FF2B5EF4-FFF2-40B4-BE49-F238E27FC236}">
              <a16:creationId xmlns:a16="http://schemas.microsoft.com/office/drawing/2014/main" id="{00000000-0008-0000-0800-00001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6" name="Text Box 174">
          <a:extLst>
            <a:ext uri="{FF2B5EF4-FFF2-40B4-BE49-F238E27FC236}">
              <a16:creationId xmlns:a16="http://schemas.microsoft.com/office/drawing/2014/main" id="{00000000-0008-0000-0800-00001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7" name="Text Box 175">
          <a:extLst>
            <a:ext uri="{FF2B5EF4-FFF2-40B4-BE49-F238E27FC236}">
              <a16:creationId xmlns:a16="http://schemas.microsoft.com/office/drawing/2014/main" id="{00000000-0008-0000-0800-00001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8" name="Text Box 176">
          <a:extLst>
            <a:ext uri="{FF2B5EF4-FFF2-40B4-BE49-F238E27FC236}">
              <a16:creationId xmlns:a16="http://schemas.microsoft.com/office/drawing/2014/main" id="{00000000-0008-0000-0800-00001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9" name="Text Box 177">
          <a:extLst>
            <a:ext uri="{FF2B5EF4-FFF2-40B4-BE49-F238E27FC236}">
              <a16:creationId xmlns:a16="http://schemas.microsoft.com/office/drawing/2014/main" id="{00000000-0008-0000-0800-00001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0" name="Text Box 178">
          <a:extLst>
            <a:ext uri="{FF2B5EF4-FFF2-40B4-BE49-F238E27FC236}">
              <a16:creationId xmlns:a16="http://schemas.microsoft.com/office/drawing/2014/main" id="{00000000-0008-0000-0800-00002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1" name="Text Box 179">
          <a:extLst>
            <a:ext uri="{FF2B5EF4-FFF2-40B4-BE49-F238E27FC236}">
              <a16:creationId xmlns:a16="http://schemas.microsoft.com/office/drawing/2014/main" id="{00000000-0008-0000-0800-00002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2" name="Text Box 180">
          <a:extLst>
            <a:ext uri="{FF2B5EF4-FFF2-40B4-BE49-F238E27FC236}">
              <a16:creationId xmlns:a16="http://schemas.microsoft.com/office/drawing/2014/main" id="{00000000-0008-0000-0800-00002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3" name="Text Box 181">
          <a:extLst>
            <a:ext uri="{FF2B5EF4-FFF2-40B4-BE49-F238E27FC236}">
              <a16:creationId xmlns:a16="http://schemas.microsoft.com/office/drawing/2014/main" id="{00000000-0008-0000-0800-00002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4" name="Text Box 182">
          <a:extLst>
            <a:ext uri="{FF2B5EF4-FFF2-40B4-BE49-F238E27FC236}">
              <a16:creationId xmlns:a16="http://schemas.microsoft.com/office/drawing/2014/main" id="{00000000-0008-0000-0800-00002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5" name="Text Box 183">
          <a:extLst>
            <a:ext uri="{FF2B5EF4-FFF2-40B4-BE49-F238E27FC236}">
              <a16:creationId xmlns:a16="http://schemas.microsoft.com/office/drawing/2014/main" id="{00000000-0008-0000-0800-00002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6" name="Text Box 184">
          <a:extLst>
            <a:ext uri="{FF2B5EF4-FFF2-40B4-BE49-F238E27FC236}">
              <a16:creationId xmlns:a16="http://schemas.microsoft.com/office/drawing/2014/main" id="{00000000-0008-0000-0800-00002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7" name="Text Box 185">
          <a:extLst>
            <a:ext uri="{FF2B5EF4-FFF2-40B4-BE49-F238E27FC236}">
              <a16:creationId xmlns:a16="http://schemas.microsoft.com/office/drawing/2014/main" id="{00000000-0008-0000-0800-00002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8" name="Text Box 186">
          <a:extLst>
            <a:ext uri="{FF2B5EF4-FFF2-40B4-BE49-F238E27FC236}">
              <a16:creationId xmlns:a16="http://schemas.microsoft.com/office/drawing/2014/main" id="{00000000-0008-0000-0800-00002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9" name="Text Box 187">
          <a:extLst>
            <a:ext uri="{FF2B5EF4-FFF2-40B4-BE49-F238E27FC236}">
              <a16:creationId xmlns:a16="http://schemas.microsoft.com/office/drawing/2014/main" id="{00000000-0008-0000-0800-00002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0" name="Text Box 188">
          <a:extLst>
            <a:ext uri="{FF2B5EF4-FFF2-40B4-BE49-F238E27FC236}">
              <a16:creationId xmlns:a16="http://schemas.microsoft.com/office/drawing/2014/main" id="{00000000-0008-0000-0800-00002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1" name="Text Box 189">
          <a:extLst>
            <a:ext uri="{FF2B5EF4-FFF2-40B4-BE49-F238E27FC236}">
              <a16:creationId xmlns:a16="http://schemas.microsoft.com/office/drawing/2014/main" id="{00000000-0008-0000-0800-00002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2" name="Text Box 190">
          <a:extLst>
            <a:ext uri="{FF2B5EF4-FFF2-40B4-BE49-F238E27FC236}">
              <a16:creationId xmlns:a16="http://schemas.microsoft.com/office/drawing/2014/main" id="{00000000-0008-0000-0800-00002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3" name="Text Box 191">
          <a:extLst>
            <a:ext uri="{FF2B5EF4-FFF2-40B4-BE49-F238E27FC236}">
              <a16:creationId xmlns:a16="http://schemas.microsoft.com/office/drawing/2014/main" id="{00000000-0008-0000-0800-00002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4" name="Text Box 192">
          <a:extLst>
            <a:ext uri="{FF2B5EF4-FFF2-40B4-BE49-F238E27FC236}">
              <a16:creationId xmlns:a16="http://schemas.microsoft.com/office/drawing/2014/main" id="{00000000-0008-0000-0800-00002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5" name="Text Box 193">
          <a:extLst>
            <a:ext uri="{FF2B5EF4-FFF2-40B4-BE49-F238E27FC236}">
              <a16:creationId xmlns:a16="http://schemas.microsoft.com/office/drawing/2014/main" id="{00000000-0008-0000-0800-00002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6" name="Text Box 194">
          <a:extLst>
            <a:ext uri="{FF2B5EF4-FFF2-40B4-BE49-F238E27FC236}">
              <a16:creationId xmlns:a16="http://schemas.microsoft.com/office/drawing/2014/main" id="{00000000-0008-0000-0800-00003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7" name="Text Box 195">
          <a:extLst>
            <a:ext uri="{FF2B5EF4-FFF2-40B4-BE49-F238E27FC236}">
              <a16:creationId xmlns:a16="http://schemas.microsoft.com/office/drawing/2014/main" id="{00000000-0008-0000-0800-00003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8" name="Text Box 196">
          <a:extLst>
            <a:ext uri="{FF2B5EF4-FFF2-40B4-BE49-F238E27FC236}">
              <a16:creationId xmlns:a16="http://schemas.microsoft.com/office/drawing/2014/main" id="{00000000-0008-0000-0800-00003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9" name="Text Box 197">
          <a:extLst>
            <a:ext uri="{FF2B5EF4-FFF2-40B4-BE49-F238E27FC236}">
              <a16:creationId xmlns:a16="http://schemas.microsoft.com/office/drawing/2014/main" id="{00000000-0008-0000-0800-00003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0" name="Text Box 198">
          <a:extLst>
            <a:ext uri="{FF2B5EF4-FFF2-40B4-BE49-F238E27FC236}">
              <a16:creationId xmlns:a16="http://schemas.microsoft.com/office/drawing/2014/main" id="{00000000-0008-0000-0800-00003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1" name="Text Box 199">
          <a:extLst>
            <a:ext uri="{FF2B5EF4-FFF2-40B4-BE49-F238E27FC236}">
              <a16:creationId xmlns:a16="http://schemas.microsoft.com/office/drawing/2014/main" id="{00000000-0008-0000-0800-00003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2" name="Text Box 200">
          <a:extLst>
            <a:ext uri="{FF2B5EF4-FFF2-40B4-BE49-F238E27FC236}">
              <a16:creationId xmlns:a16="http://schemas.microsoft.com/office/drawing/2014/main" id="{00000000-0008-0000-0800-00003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3" name="Text Box 201">
          <a:extLst>
            <a:ext uri="{FF2B5EF4-FFF2-40B4-BE49-F238E27FC236}">
              <a16:creationId xmlns:a16="http://schemas.microsoft.com/office/drawing/2014/main" id="{00000000-0008-0000-0800-00003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4" name="Text Box 202">
          <a:extLst>
            <a:ext uri="{FF2B5EF4-FFF2-40B4-BE49-F238E27FC236}">
              <a16:creationId xmlns:a16="http://schemas.microsoft.com/office/drawing/2014/main" id="{00000000-0008-0000-0800-00003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5" name="Text Box 203">
          <a:extLst>
            <a:ext uri="{FF2B5EF4-FFF2-40B4-BE49-F238E27FC236}">
              <a16:creationId xmlns:a16="http://schemas.microsoft.com/office/drawing/2014/main" id="{00000000-0008-0000-0800-00003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6" name="Text Box 204">
          <a:extLst>
            <a:ext uri="{FF2B5EF4-FFF2-40B4-BE49-F238E27FC236}">
              <a16:creationId xmlns:a16="http://schemas.microsoft.com/office/drawing/2014/main" id="{00000000-0008-0000-0800-00003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7" name="Text Box 205">
          <a:extLst>
            <a:ext uri="{FF2B5EF4-FFF2-40B4-BE49-F238E27FC236}">
              <a16:creationId xmlns:a16="http://schemas.microsoft.com/office/drawing/2014/main" id="{00000000-0008-0000-0800-00003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8" name="Text Box 206">
          <a:extLst>
            <a:ext uri="{FF2B5EF4-FFF2-40B4-BE49-F238E27FC236}">
              <a16:creationId xmlns:a16="http://schemas.microsoft.com/office/drawing/2014/main" id="{00000000-0008-0000-0800-00003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9" name="Text Box 207">
          <a:extLst>
            <a:ext uri="{FF2B5EF4-FFF2-40B4-BE49-F238E27FC236}">
              <a16:creationId xmlns:a16="http://schemas.microsoft.com/office/drawing/2014/main" id="{00000000-0008-0000-0800-00003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0" name="Text Box 208">
          <a:extLst>
            <a:ext uri="{FF2B5EF4-FFF2-40B4-BE49-F238E27FC236}">
              <a16:creationId xmlns:a16="http://schemas.microsoft.com/office/drawing/2014/main" id="{00000000-0008-0000-0800-00003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1" name="Text Box 209">
          <a:extLst>
            <a:ext uri="{FF2B5EF4-FFF2-40B4-BE49-F238E27FC236}">
              <a16:creationId xmlns:a16="http://schemas.microsoft.com/office/drawing/2014/main" id="{00000000-0008-0000-0800-00003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2" name="Text Box 210">
          <a:extLst>
            <a:ext uri="{FF2B5EF4-FFF2-40B4-BE49-F238E27FC236}">
              <a16:creationId xmlns:a16="http://schemas.microsoft.com/office/drawing/2014/main" id="{00000000-0008-0000-0800-00004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3" name="Text Box 211">
          <a:extLst>
            <a:ext uri="{FF2B5EF4-FFF2-40B4-BE49-F238E27FC236}">
              <a16:creationId xmlns:a16="http://schemas.microsoft.com/office/drawing/2014/main" id="{00000000-0008-0000-0800-00004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4" name="Text Box 212">
          <a:extLst>
            <a:ext uri="{FF2B5EF4-FFF2-40B4-BE49-F238E27FC236}">
              <a16:creationId xmlns:a16="http://schemas.microsoft.com/office/drawing/2014/main" id="{00000000-0008-0000-0800-00004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5" name="Text Box 213">
          <a:extLst>
            <a:ext uri="{FF2B5EF4-FFF2-40B4-BE49-F238E27FC236}">
              <a16:creationId xmlns:a16="http://schemas.microsoft.com/office/drawing/2014/main" id="{00000000-0008-0000-0800-00004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6" name="Text Box 214">
          <a:extLst>
            <a:ext uri="{FF2B5EF4-FFF2-40B4-BE49-F238E27FC236}">
              <a16:creationId xmlns:a16="http://schemas.microsoft.com/office/drawing/2014/main" id="{00000000-0008-0000-0800-00004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7" name="Text Box 215">
          <a:extLst>
            <a:ext uri="{FF2B5EF4-FFF2-40B4-BE49-F238E27FC236}">
              <a16:creationId xmlns:a16="http://schemas.microsoft.com/office/drawing/2014/main" id="{00000000-0008-0000-0800-00004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8" name="Text Box 216">
          <a:extLst>
            <a:ext uri="{FF2B5EF4-FFF2-40B4-BE49-F238E27FC236}">
              <a16:creationId xmlns:a16="http://schemas.microsoft.com/office/drawing/2014/main" id="{00000000-0008-0000-0800-00004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9" name="Text Box 217">
          <a:extLst>
            <a:ext uri="{FF2B5EF4-FFF2-40B4-BE49-F238E27FC236}">
              <a16:creationId xmlns:a16="http://schemas.microsoft.com/office/drawing/2014/main" id="{00000000-0008-0000-0800-00004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0" name="Text Box 218">
          <a:extLst>
            <a:ext uri="{FF2B5EF4-FFF2-40B4-BE49-F238E27FC236}">
              <a16:creationId xmlns:a16="http://schemas.microsoft.com/office/drawing/2014/main" id="{00000000-0008-0000-0800-00004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1" name="Text Box 219">
          <a:extLst>
            <a:ext uri="{FF2B5EF4-FFF2-40B4-BE49-F238E27FC236}">
              <a16:creationId xmlns:a16="http://schemas.microsoft.com/office/drawing/2014/main" id="{00000000-0008-0000-0800-00004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2" name="Text Box 220">
          <a:extLst>
            <a:ext uri="{FF2B5EF4-FFF2-40B4-BE49-F238E27FC236}">
              <a16:creationId xmlns:a16="http://schemas.microsoft.com/office/drawing/2014/main" id="{00000000-0008-0000-0800-00004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3" name="Text Box 221">
          <a:extLst>
            <a:ext uri="{FF2B5EF4-FFF2-40B4-BE49-F238E27FC236}">
              <a16:creationId xmlns:a16="http://schemas.microsoft.com/office/drawing/2014/main" id="{00000000-0008-0000-0800-00004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4" name="Text Box 222">
          <a:extLst>
            <a:ext uri="{FF2B5EF4-FFF2-40B4-BE49-F238E27FC236}">
              <a16:creationId xmlns:a16="http://schemas.microsoft.com/office/drawing/2014/main" id="{00000000-0008-0000-0800-00004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5" name="Text Box 223">
          <a:extLst>
            <a:ext uri="{FF2B5EF4-FFF2-40B4-BE49-F238E27FC236}">
              <a16:creationId xmlns:a16="http://schemas.microsoft.com/office/drawing/2014/main" id="{00000000-0008-0000-0800-00004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6" name="Text Box 224">
          <a:extLst>
            <a:ext uri="{FF2B5EF4-FFF2-40B4-BE49-F238E27FC236}">
              <a16:creationId xmlns:a16="http://schemas.microsoft.com/office/drawing/2014/main" id="{00000000-0008-0000-0800-00004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7" name="Text Box 225">
          <a:extLst>
            <a:ext uri="{FF2B5EF4-FFF2-40B4-BE49-F238E27FC236}">
              <a16:creationId xmlns:a16="http://schemas.microsoft.com/office/drawing/2014/main" id="{00000000-0008-0000-0800-00004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8" name="Text Box 226">
          <a:extLst>
            <a:ext uri="{FF2B5EF4-FFF2-40B4-BE49-F238E27FC236}">
              <a16:creationId xmlns:a16="http://schemas.microsoft.com/office/drawing/2014/main" id="{00000000-0008-0000-0800-00005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89" name="Text Box 227">
          <a:extLst>
            <a:ext uri="{FF2B5EF4-FFF2-40B4-BE49-F238E27FC236}">
              <a16:creationId xmlns:a16="http://schemas.microsoft.com/office/drawing/2014/main" id="{00000000-0008-0000-0800-00005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0" name="Text Box 228">
          <a:extLst>
            <a:ext uri="{FF2B5EF4-FFF2-40B4-BE49-F238E27FC236}">
              <a16:creationId xmlns:a16="http://schemas.microsoft.com/office/drawing/2014/main" id="{00000000-0008-0000-0800-00005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1" name="Text Box 229">
          <a:extLst>
            <a:ext uri="{FF2B5EF4-FFF2-40B4-BE49-F238E27FC236}">
              <a16:creationId xmlns:a16="http://schemas.microsoft.com/office/drawing/2014/main" id="{00000000-0008-0000-0800-00005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2" name="Text Box 230">
          <a:extLst>
            <a:ext uri="{FF2B5EF4-FFF2-40B4-BE49-F238E27FC236}">
              <a16:creationId xmlns:a16="http://schemas.microsoft.com/office/drawing/2014/main" id="{00000000-0008-0000-0800-00005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3" name="Text Box 231">
          <a:extLst>
            <a:ext uri="{FF2B5EF4-FFF2-40B4-BE49-F238E27FC236}">
              <a16:creationId xmlns:a16="http://schemas.microsoft.com/office/drawing/2014/main" id="{00000000-0008-0000-0800-00005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4" name="Text Box 232">
          <a:extLst>
            <a:ext uri="{FF2B5EF4-FFF2-40B4-BE49-F238E27FC236}">
              <a16:creationId xmlns:a16="http://schemas.microsoft.com/office/drawing/2014/main" id="{00000000-0008-0000-0800-00005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5" name="Text Box 233">
          <a:extLst>
            <a:ext uri="{FF2B5EF4-FFF2-40B4-BE49-F238E27FC236}">
              <a16:creationId xmlns:a16="http://schemas.microsoft.com/office/drawing/2014/main" id="{00000000-0008-0000-0800-00005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6" name="Text Box 234">
          <a:extLst>
            <a:ext uri="{FF2B5EF4-FFF2-40B4-BE49-F238E27FC236}">
              <a16:creationId xmlns:a16="http://schemas.microsoft.com/office/drawing/2014/main" id="{00000000-0008-0000-0800-00005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7" name="Text Box 235">
          <a:extLst>
            <a:ext uri="{FF2B5EF4-FFF2-40B4-BE49-F238E27FC236}">
              <a16:creationId xmlns:a16="http://schemas.microsoft.com/office/drawing/2014/main" id="{00000000-0008-0000-0800-00005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8" name="Text Box 236">
          <a:extLst>
            <a:ext uri="{FF2B5EF4-FFF2-40B4-BE49-F238E27FC236}">
              <a16:creationId xmlns:a16="http://schemas.microsoft.com/office/drawing/2014/main" id="{00000000-0008-0000-0800-00005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9" name="Text Box 237">
          <a:extLst>
            <a:ext uri="{FF2B5EF4-FFF2-40B4-BE49-F238E27FC236}">
              <a16:creationId xmlns:a16="http://schemas.microsoft.com/office/drawing/2014/main" id="{00000000-0008-0000-0800-00005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0" name="Text Box 238">
          <a:extLst>
            <a:ext uri="{FF2B5EF4-FFF2-40B4-BE49-F238E27FC236}">
              <a16:creationId xmlns:a16="http://schemas.microsoft.com/office/drawing/2014/main" id="{00000000-0008-0000-0800-00005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1" name="Text Box 239">
          <a:extLst>
            <a:ext uri="{FF2B5EF4-FFF2-40B4-BE49-F238E27FC236}">
              <a16:creationId xmlns:a16="http://schemas.microsoft.com/office/drawing/2014/main" id="{00000000-0008-0000-0800-00005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2" name="Text Box 240">
          <a:extLst>
            <a:ext uri="{FF2B5EF4-FFF2-40B4-BE49-F238E27FC236}">
              <a16:creationId xmlns:a16="http://schemas.microsoft.com/office/drawing/2014/main" id="{00000000-0008-0000-0800-00005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3" name="Text Box 241">
          <a:extLst>
            <a:ext uri="{FF2B5EF4-FFF2-40B4-BE49-F238E27FC236}">
              <a16:creationId xmlns:a16="http://schemas.microsoft.com/office/drawing/2014/main" id="{00000000-0008-0000-0800-00005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4" name="Text Box 242">
          <a:extLst>
            <a:ext uri="{FF2B5EF4-FFF2-40B4-BE49-F238E27FC236}">
              <a16:creationId xmlns:a16="http://schemas.microsoft.com/office/drawing/2014/main" id="{00000000-0008-0000-0800-00006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5" name="Text Box 243">
          <a:extLst>
            <a:ext uri="{FF2B5EF4-FFF2-40B4-BE49-F238E27FC236}">
              <a16:creationId xmlns:a16="http://schemas.microsoft.com/office/drawing/2014/main" id="{00000000-0008-0000-0800-00006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6" name="Text Box 244">
          <a:extLst>
            <a:ext uri="{FF2B5EF4-FFF2-40B4-BE49-F238E27FC236}">
              <a16:creationId xmlns:a16="http://schemas.microsoft.com/office/drawing/2014/main" id="{00000000-0008-0000-0800-00006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7" name="Text Box 245">
          <a:extLst>
            <a:ext uri="{FF2B5EF4-FFF2-40B4-BE49-F238E27FC236}">
              <a16:creationId xmlns:a16="http://schemas.microsoft.com/office/drawing/2014/main" id="{00000000-0008-0000-0800-00006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8" name="Text Box 246">
          <a:extLst>
            <a:ext uri="{FF2B5EF4-FFF2-40B4-BE49-F238E27FC236}">
              <a16:creationId xmlns:a16="http://schemas.microsoft.com/office/drawing/2014/main" id="{00000000-0008-0000-0800-00006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9" name="Text Box 247">
          <a:extLst>
            <a:ext uri="{FF2B5EF4-FFF2-40B4-BE49-F238E27FC236}">
              <a16:creationId xmlns:a16="http://schemas.microsoft.com/office/drawing/2014/main" id="{00000000-0008-0000-0800-00006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0" name="Text Box 248">
          <a:extLst>
            <a:ext uri="{FF2B5EF4-FFF2-40B4-BE49-F238E27FC236}">
              <a16:creationId xmlns:a16="http://schemas.microsoft.com/office/drawing/2014/main" id="{00000000-0008-0000-0800-00006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1" name="Text Box 249">
          <a:extLst>
            <a:ext uri="{FF2B5EF4-FFF2-40B4-BE49-F238E27FC236}">
              <a16:creationId xmlns:a16="http://schemas.microsoft.com/office/drawing/2014/main" id="{00000000-0008-0000-0800-00006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2" name="Text Box 250">
          <a:extLst>
            <a:ext uri="{FF2B5EF4-FFF2-40B4-BE49-F238E27FC236}">
              <a16:creationId xmlns:a16="http://schemas.microsoft.com/office/drawing/2014/main" id="{00000000-0008-0000-0800-00006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3" name="Text Box 251">
          <a:extLst>
            <a:ext uri="{FF2B5EF4-FFF2-40B4-BE49-F238E27FC236}">
              <a16:creationId xmlns:a16="http://schemas.microsoft.com/office/drawing/2014/main" id="{00000000-0008-0000-0800-00006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4" name="Text Box 252">
          <a:extLst>
            <a:ext uri="{FF2B5EF4-FFF2-40B4-BE49-F238E27FC236}">
              <a16:creationId xmlns:a16="http://schemas.microsoft.com/office/drawing/2014/main" id="{00000000-0008-0000-0800-00006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5" name="Text Box 253">
          <a:extLst>
            <a:ext uri="{FF2B5EF4-FFF2-40B4-BE49-F238E27FC236}">
              <a16:creationId xmlns:a16="http://schemas.microsoft.com/office/drawing/2014/main" id="{00000000-0008-0000-0800-00006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6" name="Text Box 254">
          <a:extLst>
            <a:ext uri="{FF2B5EF4-FFF2-40B4-BE49-F238E27FC236}">
              <a16:creationId xmlns:a16="http://schemas.microsoft.com/office/drawing/2014/main" id="{00000000-0008-0000-0800-00006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7" name="Text Box 255">
          <a:extLst>
            <a:ext uri="{FF2B5EF4-FFF2-40B4-BE49-F238E27FC236}">
              <a16:creationId xmlns:a16="http://schemas.microsoft.com/office/drawing/2014/main" id="{00000000-0008-0000-0800-00006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8" name="Text Box 256">
          <a:extLst>
            <a:ext uri="{FF2B5EF4-FFF2-40B4-BE49-F238E27FC236}">
              <a16:creationId xmlns:a16="http://schemas.microsoft.com/office/drawing/2014/main" id="{00000000-0008-0000-0800-00006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9" name="Text Box 257">
          <a:extLst>
            <a:ext uri="{FF2B5EF4-FFF2-40B4-BE49-F238E27FC236}">
              <a16:creationId xmlns:a16="http://schemas.microsoft.com/office/drawing/2014/main" id="{00000000-0008-0000-0800-00006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0" name="Text Box 258">
          <a:extLst>
            <a:ext uri="{FF2B5EF4-FFF2-40B4-BE49-F238E27FC236}">
              <a16:creationId xmlns:a16="http://schemas.microsoft.com/office/drawing/2014/main" id="{00000000-0008-0000-0800-00007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1" name="Text Box 259">
          <a:extLst>
            <a:ext uri="{FF2B5EF4-FFF2-40B4-BE49-F238E27FC236}">
              <a16:creationId xmlns:a16="http://schemas.microsoft.com/office/drawing/2014/main" id="{00000000-0008-0000-0800-00007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2" name="Text Box 260">
          <a:extLst>
            <a:ext uri="{FF2B5EF4-FFF2-40B4-BE49-F238E27FC236}">
              <a16:creationId xmlns:a16="http://schemas.microsoft.com/office/drawing/2014/main" id="{00000000-0008-0000-0800-00007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3" name="Text Box 261">
          <a:extLst>
            <a:ext uri="{FF2B5EF4-FFF2-40B4-BE49-F238E27FC236}">
              <a16:creationId xmlns:a16="http://schemas.microsoft.com/office/drawing/2014/main" id="{00000000-0008-0000-0800-00007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4" name="Text Box 262">
          <a:extLst>
            <a:ext uri="{FF2B5EF4-FFF2-40B4-BE49-F238E27FC236}">
              <a16:creationId xmlns:a16="http://schemas.microsoft.com/office/drawing/2014/main" id="{00000000-0008-0000-0800-00007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5" name="Text Box 263">
          <a:extLst>
            <a:ext uri="{FF2B5EF4-FFF2-40B4-BE49-F238E27FC236}">
              <a16:creationId xmlns:a16="http://schemas.microsoft.com/office/drawing/2014/main" id="{00000000-0008-0000-0800-00007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6" name="Text Box 264">
          <a:extLst>
            <a:ext uri="{FF2B5EF4-FFF2-40B4-BE49-F238E27FC236}">
              <a16:creationId xmlns:a16="http://schemas.microsoft.com/office/drawing/2014/main" id="{00000000-0008-0000-0800-00007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7" name="Text Box 265">
          <a:extLst>
            <a:ext uri="{FF2B5EF4-FFF2-40B4-BE49-F238E27FC236}">
              <a16:creationId xmlns:a16="http://schemas.microsoft.com/office/drawing/2014/main" id="{00000000-0008-0000-0800-00007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8" name="Text Box 266">
          <a:extLst>
            <a:ext uri="{FF2B5EF4-FFF2-40B4-BE49-F238E27FC236}">
              <a16:creationId xmlns:a16="http://schemas.microsoft.com/office/drawing/2014/main" id="{00000000-0008-0000-0800-00007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9" name="Text Box 267">
          <a:extLst>
            <a:ext uri="{FF2B5EF4-FFF2-40B4-BE49-F238E27FC236}">
              <a16:creationId xmlns:a16="http://schemas.microsoft.com/office/drawing/2014/main" id="{00000000-0008-0000-0800-00007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0" name="Text Box 268">
          <a:extLst>
            <a:ext uri="{FF2B5EF4-FFF2-40B4-BE49-F238E27FC236}">
              <a16:creationId xmlns:a16="http://schemas.microsoft.com/office/drawing/2014/main" id="{00000000-0008-0000-0800-00007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1" name="Text Box 269">
          <a:extLst>
            <a:ext uri="{FF2B5EF4-FFF2-40B4-BE49-F238E27FC236}">
              <a16:creationId xmlns:a16="http://schemas.microsoft.com/office/drawing/2014/main" id="{00000000-0008-0000-0800-00007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2" name="Text Box 270">
          <a:extLst>
            <a:ext uri="{FF2B5EF4-FFF2-40B4-BE49-F238E27FC236}">
              <a16:creationId xmlns:a16="http://schemas.microsoft.com/office/drawing/2014/main" id="{00000000-0008-0000-0800-00007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3" name="Text Box 271">
          <a:extLst>
            <a:ext uri="{FF2B5EF4-FFF2-40B4-BE49-F238E27FC236}">
              <a16:creationId xmlns:a16="http://schemas.microsoft.com/office/drawing/2014/main" id="{00000000-0008-0000-0800-00007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4" name="Text Box 272">
          <a:extLst>
            <a:ext uri="{FF2B5EF4-FFF2-40B4-BE49-F238E27FC236}">
              <a16:creationId xmlns:a16="http://schemas.microsoft.com/office/drawing/2014/main" id="{00000000-0008-0000-0800-00007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5" name="Text Box 273">
          <a:extLst>
            <a:ext uri="{FF2B5EF4-FFF2-40B4-BE49-F238E27FC236}">
              <a16:creationId xmlns:a16="http://schemas.microsoft.com/office/drawing/2014/main" id="{00000000-0008-0000-0800-00007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6" name="Text Box 274">
          <a:extLst>
            <a:ext uri="{FF2B5EF4-FFF2-40B4-BE49-F238E27FC236}">
              <a16:creationId xmlns:a16="http://schemas.microsoft.com/office/drawing/2014/main" id="{00000000-0008-0000-0800-00008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7" name="Text Box 275">
          <a:extLst>
            <a:ext uri="{FF2B5EF4-FFF2-40B4-BE49-F238E27FC236}">
              <a16:creationId xmlns:a16="http://schemas.microsoft.com/office/drawing/2014/main" id="{00000000-0008-0000-0800-00008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8" name="Text Box 276">
          <a:extLst>
            <a:ext uri="{FF2B5EF4-FFF2-40B4-BE49-F238E27FC236}">
              <a16:creationId xmlns:a16="http://schemas.microsoft.com/office/drawing/2014/main" id="{00000000-0008-0000-0800-00008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9" name="Text Box 277">
          <a:extLst>
            <a:ext uri="{FF2B5EF4-FFF2-40B4-BE49-F238E27FC236}">
              <a16:creationId xmlns:a16="http://schemas.microsoft.com/office/drawing/2014/main" id="{00000000-0008-0000-0800-00008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0" name="Text Box 278">
          <a:extLst>
            <a:ext uri="{FF2B5EF4-FFF2-40B4-BE49-F238E27FC236}">
              <a16:creationId xmlns:a16="http://schemas.microsoft.com/office/drawing/2014/main" id="{00000000-0008-0000-0800-00008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1" name="Text Box 279">
          <a:extLst>
            <a:ext uri="{FF2B5EF4-FFF2-40B4-BE49-F238E27FC236}">
              <a16:creationId xmlns:a16="http://schemas.microsoft.com/office/drawing/2014/main" id="{00000000-0008-0000-0800-00008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2" name="Text Box 280">
          <a:extLst>
            <a:ext uri="{FF2B5EF4-FFF2-40B4-BE49-F238E27FC236}">
              <a16:creationId xmlns:a16="http://schemas.microsoft.com/office/drawing/2014/main" id="{00000000-0008-0000-0800-00008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3" name="Text Box 281">
          <a:extLst>
            <a:ext uri="{FF2B5EF4-FFF2-40B4-BE49-F238E27FC236}">
              <a16:creationId xmlns:a16="http://schemas.microsoft.com/office/drawing/2014/main" id="{00000000-0008-0000-0800-00008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4" name="Text Box 282">
          <a:extLst>
            <a:ext uri="{FF2B5EF4-FFF2-40B4-BE49-F238E27FC236}">
              <a16:creationId xmlns:a16="http://schemas.microsoft.com/office/drawing/2014/main" id="{00000000-0008-0000-0800-00008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5" name="Text Box 283">
          <a:extLst>
            <a:ext uri="{FF2B5EF4-FFF2-40B4-BE49-F238E27FC236}">
              <a16:creationId xmlns:a16="http://schemas.microsoft.com/office/drawing/2014/main" id="{00000000-0008-0000-0800-00008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6" name="Text Box 284">
          <a:extLst>
            <a:ext uri="{FF2B5EF4-FFF2-40B4-BE49-F238E27FC236}">
              <a16:creationId xmlns:a16="http://schemas.microsoft.com/office/drawing/2014/main" id="{00000000-0008-0000-0800-00008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7" name="Text Box 285">
          <a:extLst>
            <a:ext uri="{FF2B5EF4-FFF2-40B4-BE49-F238E27FC236}">
              <a16:creationId xmlns:a16="http://schemas.microsoft.com/office/drawing/2014/main" id="{00000000-0008-0000-0800-00008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8" name="Text Box 286">
          <a:extLst>
            <a:ext uri="{FF2B5EF4-FFF2-40B4-BE49-F238E27FC236}">
              <a16:creationId xmlns:a16="http://schemas.microsoft.com/office/drawing/2014/main" id="{00000000-0008-0000-0800-00008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9" name="Text Box 287">
          <a:extLst>
            <a:ext uri="{FF2B5EF4-FFF2-40B4-BE49-F238E27FC236}">
              <a16:creationId xmlns:a16="http://schemas.microsoft.com/office/drawing/2014/main" id="{00000000-0008-0000-0800-00008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0" name="Text Box 288">
          <a:extLst>
            <a:ext uri="{FF2B5EF4-FFF2-40B4-BE49-F238E27FC236}">
              <a16:creationId xmlns:a16="http://schemas.microsoft.com/office/drawing/2014/main" id="{00000000-0008-0000-0800-00008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1" name="Text Box 289">
          <a:extLst>
            <a:ext uri="{FF2B5EF4-FFF2-40B4-BE49-F238E27FC236}">
              <a16:creationId xmlns:a16="http://schemas.microsoft.com/office/drawing/2014/main" id="{00000000-0008-0000-0800-00008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2" name="Text Box 290">
          <a:extLst>
            <a:ext uri="{FF2B5EF4-FFF2-40B4-BE49-F238E27FC236}">
              <a16:creationId xmlns:a16="http://schemas.microsoft.com/office/drawing/2014/main" id="{00000000-0008-0000-0800-00009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3" name="Text Box 291">
          <a:extLst>
            <a:ext uri="{FF2B5EF4-FFF2-40B4-BE49-F238E27FC236}">
              <a16:creationId xmlns:a16="http://schemas.microsoft.com/office/drawing/2014/main" id="{00000000-0008-0000-0800-00009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4" name="Text Box 292">
          <a:extLst>
            <a:ext uri="{FF2B5EF4-FFF2-40B4-BE49-F238E27FC236}">
              <a16:creationId xmlns:a16="http://schemas.microsoft.com/office/drawing/2014/main" id="{00000000-0008-0000-0800-00009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5" name="Text Box 293">
          <a:extLst>
            <a:ext uri="{FF2B5EF4-FFF2-40B4-BE49-F238E27FC236}">
              <a16:creationId xmlns:a16="http://schemas.microsoft.com/office/drawing/2014/main" id="{00000000-0008-0000-0800-00009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6" name="Text Box 294">
          <a:extLst>
            <a:ext uri="{FF2B5EF4-FFF2-40B4-BE49-F238E27FC236}">
              <a16:creationId xmlns:a16="http://schemas.microsoft.com/office/drawing/2014/main" id="{00000000-0008-0000-0800-00009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7" name="Text Box 295">
          <a:extLst>
            <a:ext uri="{FF2B5EF4-FFF2-40B4-BE49-F238E27FC236}">
              <a16:creationId xmlns:a16="http://schemas.microsoft.com/office/drawing/2014/main" id="{00000000-0008-0000-0800-00009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8" name="Text Box 296">
          <a:extLst>
            <a:ext uri="{FF2B5EF4-FFF2-40B4-BE49-F238E27FC236}">
              <a16:creationId xmlns:a16="http://schemas.microsoft.com/office/drawing/2014/main" id="{00000000-0008-0000-0800-00009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59" name="Text Box 297">
          <a:extLst>
            <a:ext uri="{FF2B5EF4-FFF2-40B4-BE49-F238E27FC236}">
              <a16:creationId xmlns:a16="http://schemas.microsoft.com/office/drawing/2014/main" id="{00000000-0008-0000-0800-00009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0" name="Text Box 298">
          <a:extLst>
            <a:ext uri="{FF2B5EF4-FFF2-40B4-BE49-F238E27FC236}">
              <a16:creationId xmlns:a16="http://schemas.microsoft.com/office/drawing/2014/main" id="{00000000-0008-0000-0800-00009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1" name="Text Box 299">
          <a:extLst>
            <a:ext uri="{FF2B5EF4-FFF2-40B4-BE49-F238E27FC236}">
              <a16:creationId xmlns:a16="http://schemas.microsoft.com/office/drawing/2014/main" id="{00000000-0008-0000-0800-00009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2" name="Text Box 300">
          <a:extLst>
            <a:ext uri="{FF2B5EF4-FFF2-40B4-BE49-F238E27FC236}">
              <a16:creationId xmlns:a16="http://schemas.microsoft.com/office/drawing/2014/main" id="{00000000-0008-0000-0800-00009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3" name="Text Box 301">
          <a:extLst>
            <a:ext uri="{FF2B5EF4-FFF2-40B4-BE49-F238E27FC236}">
              <a16:creationId xmlns:a16="http://schemas.microsoft.com/office/drawing/2014/main" id="{00000000-0008-0000-0800-00009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4" name="Text Box 302">
          <a:extLst>
            <a:ext uri="{FF2B5EF4-FFF2-40B4-BE49-F238E27FC236}">
              <a16:creationId xmlns:a16="http://schemas.microsoft.com/office/drawing/2014/main" id="{00000000-0008-0000-0800-00009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5" name="Text Box 303">
          <a:extLst>
            <a:ext uri="{FF2B5EF4-FFF2-40B4-BE49-F238E27FC236}">
              <a16:creationId xmlns:a16="http://schemas.microsoft.com/office/drawing/2014/main" id="{00000000-0008-0000-0800-00009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6" name="Text Box 304">
          <a:extLst>
            <a:ext uri="{FF2B5EF4-FFF2-40B4-BE49-F238E27FC236}">
              <a16:creationId xmlns:a16="http://schemas.microsoft.com/office/drawing/2014/main" id="{00000000-0008-0000-0800-00009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7" name="Text Box 305">
          <a:extLst>
            <a:ext uri="{FF2B5EF4-FFF2-40B4-BE49-F238E27FC236}">
              <a16:creationId xmlns:a16="http://schemas.microsoft.com/office/drawing/2014/main" id="{00000000-0008-0000-0800-00009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8" name="Text Box 306">
          <a:extLst>
            <a:ext uri="{FF2B5EF4-FFF2-40B4-BE49-F238E27FC236}">
              <a16:creationId xmlns:a16="http://schemas.microsoft.com/office/drawing/2014/main" id="{00000000-0008-0000-0800-0000A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9" name="Text Box 307">
          <a:extLst>
            <a:ext uri="{FF2B5EF4-FFF2-40B4-BE49-F238E27FC236}">
              <a16:creationId xmlns:a16="http://schemas.microsoft.com/office/drawing/2014/main" id="{00000000-0008-0000-0800-0000A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0" name="Text Box 308">
          <a:extLst>
            <a:ext uri="{FF2B5EF4-FFF2-40B4-BE49-F238E27FC236}">
              <a16:creationId xmlns:a16="http://schemas.microsoft.com/office/drawing/2014/main" id="{00000000-0008-0000-0800-0000A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1" name="Text Box 309">
          <a:extLst>
            <a:ext uri="{FF2B5EF4-FFF2-40B4-BE49-F238E27FC236}">
              <a16:creationId xmlns:a16="http://schemas.microsoft.com/office/drawing/2014/main" id="{00000000-0008-0000-0800-0000A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2" name="Text Box 310">
          <a:extLst>
            <a:ext uri="{FF2B5EF4-FFF2-40B4-BE49-F238E27FC236}">
              <a16:creationId xmlns:a16="http://schemas.microsoft.com/office/drawing/2014/main" id="{00000000-0008-0000-0800-0000A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3" name="Text Box 311">
          <a:extLst>
            <a:ext uri="{FF2B5EF4-FFF2-40B4-BE49-F238E27FC236}">
              <a16:creationId xmlns:a16="http://schemas.microsoft.com/office/drawing/2014/main" id="{00000000-0008-0000-0800-0000A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4" name="Text Box 312">
          <a:extLst>
            <a:ext uri="{FF2B5EF4-FFF2-40B4-BE49-F238E27FC236}">
              <a16:creationId xmlns:a16="http://schemas.microsoft.com/office/drawing/2014/main" id="{00000000-0008-0000-0800-0000A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5" name="Text Box 313">
          <a:extLst>
            <a:ext uri="{FF2B5EF4-FFF2-40B4-BE49-F238E27FC236}">
              <a16:creationId xmlns:a16="http://schemas.microsoft.com/office/drawing/2014/main" id="{00000000-0008-0000-0800-0000A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6" name="Text Box 314">
          <a:extLst>
            <a:ext uri="{FF2B5EF4-FFF2-40B4-BE49-F238E27FC236}">
              <a16:creationId xmlns:a16="http://schemas.microsoft.com/office/drawing/2014/main" id="{00000000-0008-0000-0800-0000A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7" name="Text Box 315">
          <a:extLst>
            <a:ext uri="{FF2B5EF4-FFF2-40B4-BE49-F238E27FC236}">
              <a16:creationId xmlns:a16="http://schemas.microsoft.com/office/drawing/2014/main" id="{00000000-0008-0000-0800-0000A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8" name="Text Box 316">
          <a:extLst>
            <a:ext uri="{FF2B5EF4-FFF2-40B4-BE49-F238E27FC236}">
              <a16:creationId xmlns:a16="http://schemas.microsoft.com/office/drawing/2014/main" id="{00000000-0008-0000-0800-0000A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9" name="Text Box 317">
          <a:extLst>
            <a:ext uri="{FF2B5EF4-FFF2-40B4-BE49-F238E27FC236}">
              <a16:creationId xmlns:a16="http://schemas.microsoft.com/office/drawing/2014/main" id="{00000000-0008-0000-0800-0000A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0" name="Text Box 318">
          <a:extLst>
            <a:ext uri="{FF2B5EF4-FFF2-40B4-BE49-F238E27FC236}">
              <a16:creationId xmlns:a16="http://schemas.microsoft.com/office/drawing/2014/main" id="{00000000-0008-0000-0800-0000A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1" name="Text Box 319">
          <a:extLst>
            <a:ext uri="{FF2B5EF4-FFF2-40B4-BE49-F238E27FC236}">
              <a16:creationId xmlns:a16="http://schemas.microsoft.com/office/drawing/2014/main" id="{00000000-0008-0000-0800-0000A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2" name="Text Box 320">
          <a:extLst>
            <a:ext uri="{FF2B5EF4-FFF2-40B4-BE49-F238E27FC236}">
              <a16:creationId xmlns:a16="http://schemas.microsoft.com/office/drawing/2014/main" id="{00000000-0008-0000-0800-0000A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3" name="Text Box 28">
          <a:extLst>
            <a:ext uri="{FF2B5EF4-FFF2-40B4-BE49-F238E27FC236}">
              <a16:creationId xmlns:a16="http://schemas.microsoft.com/office/drawing/2014/main" id="{00000000-0008-0000-0800-0000A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4" name="Text Box 29">
          <a:extLst>
            <a:ext uri="{FF2B5EF4-FFF2-40B4-BE49-F238E27FC236}">
              <a16:creationId xmlns:a16="http://schemas.microsoft.com/office/drawing/2014/main" id="{00000000-0008-0000-0800-0000B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5" name="Text Box 30">
          <a:extLst>
            <a:ext uri="{FF2B5EF4-FFF2-40B4-BE49-F238E27FC236}">
              <a16:creationId xmlns:a16="http://schemas.microsoft.com/office/drawing/2014/main" id="{00000000-0008-0000-0800-0000B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6" name="Text Box 31">
          <a:extLst>
            <a:ext uri="{FF2B5EF4-FFF2-40B4-BE49-F238E27FC236}">
              <a16:creationId xmlns:a16="http://schemas.microsoft.com/office/drawing/2014/main" id="{00000000-0008-0000-0800-0000B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7" name="Text Box 32">
          <a:extLst>
            <a:ext uri="{FF2B5EF4-FFF2-40B4-BE49-F238E27FC236}">
              <a16:creationId xmlns:a16="http://schemas.microsoft.com/office/drawing/2014/main" id="{00000000-0008-0000-0800-0000B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8" name="Text Box 33">
          <a:extLst>
            <a:ext uri="{FF2B5EF4-FFF2-40B4-BE49-F238E27FC236}">
              <a16:creationId xmlns:a16="http://schemas.microsoft.com/office/drawing/2014/main" id="{00000000-0008-0000-0800-0000B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9" name="Text Box 34">
          <a:extLst>
            <a:ext uri="{FF2B5EF4-FFF2-40B4-BE49-F238E27FC236}">
              <a16:creationId xmlns:a16="http://schemas.microsoft.com/office/drawing/2014/main" id="{00000000-0008-0000-0800-0000B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0" name="Text Box 35">
          <a:extLst>
            <a:ext uri="{FF2B5EF4-FFF2-40B4-BE49-F238E27FC236}">
              <a16:creationId xmlns:a16="http://schemas.microsoft.com/office/drawing/2014/main" id="{00000000-0008-0000-0800-0000B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1" name="Text Box 36">
          <a:extLst>
            <a:ext uri="{FF2B5EF4-FFF2-40B4-BE49-F238E27FC236}">
              <a16:creationId xmlns:a16="http://schemas.microsoft.com/office/drawing/2014/main" id="{00000000-0008-0000-0800-0000B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2" name="Text Box 37">
          <a:extLst>
            <a:ext uri="{FF2B5EF4-FFF2-40B4-BE49-F238E27FC236}">
              <a16:creationId xmlns:a16="http://schemas.microsoft.com/office/drawing/2014/main" id="{00000000-0008-0000-0800-0000B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3" name="Text Box 38">
          <a:extLst>
            <a:ext uri="{FF2B5EF4-FFF2-40B4-BE49-F238E27FC236}">
              <a16:creationId xmlns:a16="http://schemas.microsoft.com/office/drawing/2014/main" id="{00000000-0008-0000-0800-0000B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4" name="Text Box 39">
          <a:extLst>
            <a:ext uri="{FF2B5EF4-FFF2-40B4-BE49-F238E27FC236}">
              <a16:creationId xmlns:a16="http://schemas.microsoft.com/office/drawing/2014/main" id="{00000000-0008-0000-0800-0000B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5" name="Text Box 40">
          <a:extLst>
            <a:ext uri="{FF2B5EF4-FFF2-40B4-BE49-F238E27FC236}">
              <a16:creationId xmlns:a16="http://schemas.microsoft.com/office/drawing/2014/main" id="{00000000-0008-0000-0800-0000B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6" name="Text Box 41">
          <a:extLst>
            <a:ext uri="{FF2B5EF4-FFF2-40B4-BE49-F238E27FC236}">
              <a16:creationId xmlns:a16="http://schemas.microsoft.com/office/drawing/2014/main" id="{00000000-0008-0000-0800-0000B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7" name="Text Box 42">
          <a:extLst>
            <a:ext uri="{FF2B5EF4-FFF2-40B4-BE49-F238E27FC236}">
              <a16:creationId xmlns:a16="http://schemas.microsoft.com/office/drawing/2014/main" id="{00000000-0008-0000-0800-0000B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8" name="Text Box 43">
          <a:extLst>
            <a:ext uri="{FF2B5EF4-FFF2-40B4-BE49-F238E27FC236}">
              <a16:creationId xmlns:a16="http://schemas.microsoft.com/office/drawing/2014/main" id="{00000000-0008-0000-0800-0000B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9" name="Text Box 44">
          <a:extLst>
            <a:ext uri="{FF2B5EF4-FFF2-40B4-BE49-F238E27FC236}">
              <a16:creationId xmlns:a16="http://schemas.microsoft.com/office/drawing/2014/main" id="{00000000-0008-0000-0800-0000B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0" name="Text Box 45">
          <a:extLst>
            <a:ext uri="{FF2B5EF4-FFF2-40B4-BE49-F238E27FC236}">
              <a16:creationId xmlns:a16="http://schemas.microsoft.com/office/drawing/2014/main" id="{00000000-0008-0000-0800-0000C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1" name="Text Box 46">
          <a:extLst>
            <a:ext uri="{FF2B5EF4-FFF2-40B4-BE49-F238E27FC236}">
              <a16:creationId xmlns:a16="http://schemas.microsoft.com/office/drawing/2014/main" id="{00000000-0008-0000-0800-0000C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2" name="Text Box 47">
          <a:extLst>
            <a:ext uri="{FF2B5EF4-FFF2-40B4-BE49-F238E27FC236}">
              <a16:creationId xmlns:a16="http://schemas.microsoft.com/office/drawing/2014/main" id="{00000000-0008-0000-0800-0000C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3" name="Text Box 48">
          <a:extLst>
            <a:ext uri="{FF2B5EF4-FFF2-40B4-BE49-F238E27FC236}">
              <a16:creationId xmlns:a16="http://schemas.microsoft.com/office/drawing/2014/main" id="{00000000-0008-0000-0800-0000C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4" name="Text Box 49">
          <a:extLst>
            <a:ext uri="{FF2B5EF4-FFF2-40B4-BE49-F238E27FC236}">
              <a16:creationId xmlns:a16="http://schemas.microsoft.com/office/drawing/2014/main" id="{00000000-0008-0000-0800-0000C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5" name="Text Box 50">
          <a:extLst>
            <a:ext uri="{FF2B5EF4-FFF2-40B4-BE49-F238E27FC236}">
              <a16:creationId xmlns:a16="http://schemas.microsoft.com/office/drawing/2014/main" id="{00000000-0008-0000-0800-0000C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6" name="Text Box 51">
          <a:extLst>
            <a:ext uri="{FF2B5EF4-FFF2-40B4-BE49-F238E27FC236}">
              <a16:creationId xmlns:a16="http://schemas.microsoft.com/office/drawing/2014/main" id="{00000000-0008-0000-0800-0000C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7" name="Text Box 52">
          <a:extLst>
            <a:ext uri="{FF2B5EF4-FFF2-40B4-BE49-F238E27FC236}">
              <a16:creationId xmlns:a16="http://schemas.microsoft.com/office/drawing/2014/main" id="{00000000-0008-0000-0800-0000C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8" name="Text Box 53">
          <a:extLst>
            <a:ext uri="{FF2B5EF4-FFF2-40B4-BE49-F238E27FC236}">
              <a16:creationId xmlns:a16="http://schemas.microsoft.com/office/drawing/2014/main" id="{00000000-0008-0000-0800-0000C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9" name="Text Box 54">
          <a:extLst>
            <a:ext uri="{FF2B5EF4-FFF2-40B4-BE49-F238E27FC236}">
              <a16:creationId xmlns:a16="http://schemas.microsoft.com/office/drawing/2014/main" id="{00000000-0008-0000-0800-0000C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0" name="Text Box 55">
          <a:extLst>
            <a:ext uri="{FF2B5EF4-FFF2-40B4-BE49-F238E27FC236}">
              <a16:creationId xmlns:a16="http://schemas.microsoft.com/office/drawing/2014/main" id="{00000000-0008-0000-0800-0000C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1" name="Text Box 56">
          <a:extLst>
            <a:ext uri="{FF2B5EF4-FFF2-40B4-BE49-F238E27FC236}">
              <a16:creationId xmlns:a16="http://schemas.microsoft.com/office/drawing/2014/main" id="{00000000-0008-0000-0800-0000C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2" name="Text Box 57">
          <a:extLst>
            <a:ext uri="{FF2B5EF4-FFF2-40B4-BE49-F238E27FC236}">
              <a16:creationId xmlns:a16="http://schemas.microsoft.com/office/drawing/2014/main" id="{00000000-0008-0000-0800-0000C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3" name="Text Box 58">
          <a:extLst>
            <a:ext uri="{FF2B5EF4-FFF2-40B4-BE49-F238E27FC236}">
              <a16:creationId xmlns:a16="http://schemas.microsoft.com/office/drawing/2014/main" id="{00000000-0008-0000-0800-0000C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4" name="Text Box 59">
          <a:extLst>
            <a:ext uri="{FF2B5EF4-FFF2-40B4-BE49-F238E27FC236}">
              <a16:creationId xmlns:a16="http://schemas.microsoft.com/office/drawing/2014/main" id="{00000000-0008-0000-0800-0000C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5" name="Text Box 60">
          <a:extLst>
            <a:ext uri="{FF2B5EF4-FFF2-40B4-BE49-F238E27FC236}">
              <a16:creationId xmlns:a16="http://schemas.microsoft.com/office/drawing/2014/main" id="{00000000-0008-0000-0800-0000C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6" name="Text Box 61">
          <a:extLst>
            <a:ext uri="{FF2B5EF4-FFF2-40B4-BE49-F238E27FC236}">
              <a16:creationId xmlns:a16="http://schemas.microsoft.com/office/drawing/2014/main" id="{00000000-0008-0000-0800-0000D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7" name="Text Box 62">
          <a:extLst>
            <a:ext uri="{FF2B5EF4-FFF2-40B4-BE49-F238E27FC236}">
              <a16:creationId xmlns:a16="http://schemas.microsoft.com/office/drawing/2014/main" id="{00000000-0008-0000-0800-0000D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8" name="Text Box 63">
          <a:extLst>
            <a:ext uri="{FF2B5EF4-FFF2-40B4-BE49-F238E27FC236}">
              <a16:creationId xmlns:a16="http://schemas.microsoft.com/office/drawing/2014/main" id="{00000000-0008-0000-0800-0000D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9" name="Text Box 64">
          <a:extLst>
            <a:ext uri="{FF2B5EF4-FFF2-40B4-BE49-F238E27FC236}">
              <a16:creationId xmlns:a16="http://schemas.microsoft.com/office/drawing/2014/main" id="{00000000-0008-0000-0800-0000D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0" name="Text Box 65">
          <a:extLst>
            <a:ext uri="{FF2B5EF4-FFF2-40B4-BE49-F238E27FC236}">
              <a16:creationId xmlns:a16="http://schemas.microsoft.com/office/drawing/2014/main" id="{00000000-0008-0000-0800-0000D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1" name="Text Box 66">
          <a:extLst>
            <a:ext uri="{FF2B5EF4-FFF2-40B4-BE49-F238E27FC236}">
              <a16:creationId xmlns:a16="http://schemas.microsoft.com/office/drawing/2014/main" id="{00000000-0008-0000-0800-0000D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2" name="Text Box 67">
          <a:extLst>
            <a:ext uri="{FF2B5EF4-FFF2-40B4-BE49-F238E27FC236}">
              <a16:creationId xmlns:a16="http://schemas.microsoft.com/office/drawing/2014/main" id="{00000000-0008-0000-0800-0000D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3" name="Text Box 68">
          <a:extLst>
            <a:ext uri="{FF2B5EF4-FFF2-40B4-BE49-F238E27FC236}">
              <a16:creationId xmlns:a16="http://schemas.microsoft.com/office/drawing/2014/main" id="{00000000-0008-0000-0800-0000D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4" name="Text Box 69">
          <a:extLst>
            <a:ext uri="{FF2B5EF4-FFF2-40B4-BE49-F238E27FC236}">
              <a16:creationId xmlns:a16="http://schemas.microsoft.com/office/drawing/2014/main" id="{00000000-0008-0000-0800-0000D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5" name="Text Box 70">
          <a:extLst>
            <a:ext uri="{FF2B5EF4-FFF2-40B4-BE49-F238E27FC236}">
              <a16:creationId xmlns:a16="http://schemas.microsoft.com/office/drawing/2014/main" id="{00000000-0008-0000-0800-0000D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6" name="Text Box 71">
          <a:extLst>
            <a:ext uri="{FF2B5EF4-FFF2-40B4-BE49-F238E27FC236}">
              <a16:creationId xmlns:a16="http://schemas.microsoft.com/office/drawing/2014/main" id="{00000000-0008-0000-0800-0000D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7" name="Text Box 72">
          <a:extLst>
            <a:ext uri="{FF2B5EF4-FFF2-40B4-BE49-F238E27FC236}">
              <a16:creationId xmlns:a16="http://schemas.microsoft.com/office/drawing/2014/main" id="{00000000-0008-0000-0800-0000D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8" name="Text Box 73">
          <a:extLst>
            <a:ext uri="{FF2B5EF4-FFF2-40B4-BE49-F238E27FC236}">
              <a16:creationId xmlns:a16="http://schemas.microsoft.com/office/drawing/2014/main" id="{00000000-0008-0000-0800-0000D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9" name="Text Box 74">
          <a:extLst>
            <a:ext uri="{FF2B5EF4-FFF2-40B4-BE49-F238E27FC236}">
              <a16:creationId xmlns:a16="http://schemas.microsoft.com/office/drawing/2014/main" id="{00000000-0008-0000-0800-0000D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0" name="Text Box 75">
          <a:extLst>
            <a:ext uri="{FF2B5EF4-FFF2-40B4-BE49-F238E27FC236}">
              <a16:creationId xmlns:a16="http://schemas.microsoft.com/office/drawing/2014/main" id="{00000000-0008-0000-0800-0000D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1" name="Text Box 76">
          <a:extLst>
            <a:ext uri="{FF2B5EF4-FFF2-40B4-BE49-F238E27FC236}">
              <a16:creationId xmlns:a16="http://schemas.microsoft.com/office/drawing/2014/main" id="{00000000-0008-0000-0800-0000D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2" name="Text Box 77">
          <a:extLst>
            <a:ext uri="{FF2B5EF4-FFF2-40B4-BE49-F238E27FC236}">
              <a16:creationId xmlns:a16="http://schemas.microsoft.com/office/drawing/2014/main" id="{00000000-0008-0000-0800-0000E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3" name="Text Box 78">
          <a:extLst>
            <a:ext uri="{FF2B5EF4-FFF2-40B4-BE49-F238E27FC236}">
              <a16:creationId xmlns:a16="http://schemas.microsoft.com/office/drawing/2014/main" id="{00000000-0008-0000-0800-0000E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4" name="Text Box 79">
          <a:extLst>
            <a:ext uri="{FF2B5EF4-FFF2-40B4-BE49-F238E27FC236}">
              <a16:creationId xmlns:a16="http://schemas.microsoft.com/office/drawing/2014/main" id="{00000000-0008-0000-0800-0000E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5" name="Text Box 80">
          <a:extLst>
            <a:ext uri="{FF2B5EF4-FFF2-40B4-BE49-F238E27FC236}">
              <a16:creationId xmlns:a16="http://schemas.microsoft.com/office/drawing/2014/main" id="{00000000-0008-0000-0800-0000E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6" name="Text Box 81">
          <a:extLst>
            <a:ext uri="{FF2B5EF4-FFF2-40B4-BE49-F238E27FC236}">
              <a16:creationId xmlns:a16="http://schemas.microsoft.com/office/drawing/2014/main" id="{00000000-0008-0000-0800-0000E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7" name="Text Box 82">
          <a:extLst>
            <a:ext uri="{FF2B5EF4-FFF2-40B4-BE49-F238E27FC236}">
              <a16:creationId xmlns:a16="http://schemas.microsoft.com/office/drawing/2014/main" id="{00000000-0008-0000-0800-0000E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8" name="Text Box 83">
          <a:extLst>
            <a:ext uri="{FF2B5EF4-FFF2-40B4-BE49-F238E27FC236}">
              <a16:creationId xmlns:a16="http://schemas.microsoft.com/office/drawing/2014/main" id="{00000000-0008-0000-0800-0000E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9" name="Text Box 84">
          <a:extLst>
            <a:ext uri="{FF2B5EF4-FFF2-40B4-BE49-F238E27FC236}">
              <a16:creationId xmlns:a16="http://schemas.microsoft.com/office/drawing/2014/main" id="{00000000-0008-0000-0800-0000E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0" name="Text Box 85">
          <a:extLst>
            <a:ext uri="{FF2B5EF4-FFF2-40B4-BE49-F238E27FC236}">
              <a16:creationId xmlns:a16="http://schemas.microsoft.com/office/drawing/2014/main" id="{00000000-0008-0000-0800-0000E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1" name="Text Box 86">
          <a:extLst>
            <a:ext uri="{FF2B5EF4-FFF2-40B4-BE49-F238E27FC236}">
              <a16:creationId xmlns:a16="http://schemas.microsoft.com/office/drawing/2014/main" id="{00000000-0008-0000-0800-0000E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2" name="Text Box 87">
          <a:extLst>
            <a:ext uri="{FF2B5EF4-FFF2-40B4-BE49-F238E27FC236}">
              <a16:creationId xmlns:a16="http://schemas.microsoft.com/office/drawing/2014/main" id="{00000000-0008-0000-0800-0000E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3" name="Text Box 88">
          <a:extLst>
            <a:ext uri="{FF2B5EF4-FFF2-40B4-BE49-F238E27FC236}">
              <a16:creationId xmlns:a16="http://schemas.microsoft.com/office/drawing/2014/main" id="{00000000-0008-0000-0800-0000E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4" name="Text Box 89">
          <a:extLst>
            <a:ext uri="{FF2B5EF4-FFF2-40B4-BE49-F238E27FC236}">
              <a16:creationId xmlns:a16="http://schemas.microsoft.com/office/drawing/2014/main" id="{00000000-0008-0000-0800-0000E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5" name="Text Box 90">
          <a:extLst>
            <a:ext uri="{FF2B5EF4-FFF2-40B4-BE49-F238E27FC236}">
              <a16:creationId xmlns:a16="http://schemas.microsoft.com/office/drawing/2014/main" id="{00000000-0008-0000-0800-0000E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6" name="Text Box 91">
          <a:extLst>
            <a:ext uri="{FF2B5EF4-FFF2-40B4-BE49-F238E27FC236}">
              <a16:creationId xmlns:a16="http://schemas.microsoft.com/office/drawing/2014/main" id="{00000000-0008-0000-0800-0000E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7" name="Text Box 92">
          <a:extLst>
            <a:ext uri="{FF2B5EF4-FFF2-40B4-BE49-F238E27FC236}">
              <a16:creationId xmlns:a16="http://schemas.microsoft.com/office/drawing/2014/main" id="{00000000-0008-0000-0800-0000E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8" name="Text Box 93">
          <a:extLst>
            <a:ext uri="{FF2B5EF4-FFF2-40B4-BE49-F238E27FC236}">
              <a16:creationId xmlns:a16="http://schemas.microsoft.com/office/drawing/2014/main" id="{00000000-0008-0000-0800-0000F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9" name="Text Box 94">
          <a:extLst>
            <a:ext uri="{FF2B5EF4-FFF2-40B4-BE49-F238E27FC236}">
              <a16:creationId xmlns:a16="http://schemas.microsoft.com/office/drawing/2014/main" id="{00000000-0008-0000-0800-0000F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0" name="Text Box 95">
          <a:extLst>
            <a:ext uri="{FF2B5EF4-FFF2-40B4-BE49-F238E27FC236}">
              <a16:creationId xmlns:a16="http://schemas.microsoft.com/office/drawing/2014/main" id="{00000000-0008-0000-0800-0000F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1" name="Text Box 96">
          <a:extLst>
            <a:ext uri="{FF2B5EF4-FFF2-40B4-BE49-F238E27FC236}">
              <a16:creationId xmlns:a16="http://schemas.microsoft.com/office/drawing/2014/main" id="{00000000-0008-0000-0800-0000F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2" name="Text Box 97">
          <a:extLst>
            <a:ext uri="{FF2B5EF4-FFF2-40B4-BE49-F238E27FC236}">
              <a16:creationId xmlns:a16="http://schemas.microsoft.com/office/drawing/2014/main" id="{00000000-0008-0000-0800-0000F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3" name="Text Box 100">
          <a:extLst>
            <a:ext uri="{FF2B5EF4-FFF2-40B4-BE49-F238E27FC236}">
              <a16:creationId xmlns:a16="http://schemas.microsoft.com/office/drawing/2014/main" id="{00000000-0008-0000-0800-0000F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4" name="Text Box 101">
          <a:extLst>
            <a:ext uri="{FF2B5EF4-FFF2-40B4-BE49-F238E27FC236}">
              <a16:creationId xmlns:a16="http://schemas.microsoft.com/office/drawing/2014/main" id="{00000000-0008-0000-0800-0000F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5" name="Text Box 102">
          <a:extLst>
            <a:ext uri="{FF2B5EF4-FFF2-40B4-BE49-F238E27FC236}">
              <a16:creationId xmlns:a16="http://schemas.microsoft.com/office/drawing/2014/main" id="{00000000-0008-0000-0800-0000F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6" name="Text Box 103">
          <a:extLst>
            <a:ext uri="{FF2B5EF4-FFF2-40B4-BE49-F238E27FC236}">
              <a16:creationId xmlns:a16="http://schemas.microsoft.com/office/drawing/2014/main" id="{00000000-0008-0000-0800-0000F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7" name="Text Box 104">
          <a:extLst>
            <a:ext uri="{FF2B5EF4-FFF2-40B4-BE49-F238E27FC236}">
              <a16:creationId xmlns:a16="http://schemas.microsoft.com/office/drawing/2014/main" id="{00000000-0008-0000-0800-0000F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8" name="Text Box 105">
          <a:extLst>
            <a:ext uri="{FF2B5EF4-FFF2-40B4-BE49-F238E27FC236}">
              <a16:creationId xmlns:a16="http://schemas.microsoft.com/office/drawing/2014/main" id="{00000000-0008-0000-0800-0000F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9" name="Text Box 106">
          <a:extLst>
            <a:ext uri="{FF2B5EF4-FFF2-40B4-BE49-F238E27FC236}">
              <a16:creationId xmlns:a16="http://schemas.microsoft.com/office/drawing/2014/main" id="{00000000-0008-0000-0800-0000F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0" name="Text Box 107">
          <a:extLst>
            <a:ext uri="{FF2B5EF4-FFF2-40B4-BE49-F238E27FC236}">
              <a16:creationId xmlns:a16="http://schemas.microsoft.com/office/drawing/2014/main" id="{00000000-0008-0000-0800-0000F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1" name="Text Box 108">
          <a:extLst>
            <a:ext uri="{FF2B5EF4-FFF2-40B4-BE49-F238E27FC236}">
              <a16:creationId xmlns:a16="http://schemas.microsoft.com/office/drawing/2014/main" id="{00000000-0008-0000-0800-0000F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2" name="Text Box 109">
          <a:extLst>
            <a:ext uri="{FF2B5EF4-FFF2-40B4-BE49-F238E27FC236}">
              <a16:creationId xmlns:a16="http://schemas.microsoft.com/office/drawing/2014/main" id="{00000000-0008-0000-0800-0000F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3" name="Text Box 110">
          <a:extLst>
            <a:ext uri="{FF2B5EF4-FFF2-40B4-BE49-F238E27FC236}">
              <a16:creationId xmlns:a16="http://schemas.microsoft.com/office/drawing/2014/main" id="{00000000-0008-0000-0800-0000F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4" name="Text Box 111">
          <a:extLst>
            <a:ext uri="{FF2B5EF4-FFF2-40B4-BE49-F238E27FC236}">
              <a16:creationId xmlns:a16="http://schemas.microsoft.com/office/drawing/2014/main" id="{00000000-0008-0000-0800-00000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5" name="Text Box 119">
          <a:extLst>
            <a:ext uri="{FF2B5EF4-FFF2-40B4-BE49-F238E27FC236}">
              <a16:creationId xmlns:a16="http://schemas.microsoft.com/office/drawing/2014/main" id="{00000000-0008-0000-0800-00000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6" name="Text Box 120">
          <a:extLst>
            <a:ext uri="{FF2B5EF4-FFF2-40B4-BE49-F238E27FC236}">
              <a16:creationId xmlns:a16="http://schemas.microsoft.com/office/drawing/2014/main" id="{00000000-0008-0000-0800-00000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7" name="Text Box 121">
          <a:extLst>
            <a:ext uri="{FF2B5EF4-FFF2-40B4-BE49-F238E27FC236}">
              <a16:creationId xmlns:a16="http://schemas.microsoft.com/office/drawing/2014/main" id="{00000000-0008-0000-0800-00000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8" name="Text Box 122">
          <a:extLst>
            <a:ext uri="{FF2B5EF4-FFF2-40B4-BE49-F238E27FC236}">
              <a16:creationId xmlns:a16="http://schemas.microsoft.com/office/drawing/2014/main" id="{00000000-0008-0000-0800-00000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9" name="Text Box 123">
          <a:extLst>
            <a:ext uri="{FF2B5EF4-FFF2-40B4-BE49-F238E27FC236}">
              <a16:creationId xmlns:a16="http://schemas.microsoft.com/office/drawing/2014/main" id="{00000000-0008-0000-0800-00000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0" name="Text Box 124">
          <a:extLst>
            <a:ext uri="{FF2B5EF4-FFF2-40B4-BE49-F238E27FC236}">
              <a16:creationId xmlns:a16="http://schemas.microsoft.com/office/drawing/2014/main" id="{00000000-0008-0000-0800-00000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1" name="Text Box 125">
          <a:extLst>
            <a:ext uri="{FF2B5EF4-FFF2-40B4-BE49-F238E27FC236}">
              <a16:creationId xmlns:a16="http://schemas.microsoft.com/office/drawing/2014/main" id="{00000000-0008-0000-0800-00000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2" name="Text Box 126">
          <a:extLst>
            <a:ext uri="{FF2B5EF4-FFF2-40B4-BE49-F238E27FC236}">
              <a16:creationId xmlns:a16="http://schemas.microsoft.com/office/drawing/2014/main" id="{00000000-0008-0000-0800-00000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3" name="Text Box 127">
          <a:extLst>
            <a:ext uri="{FF2B5EF4-FFF2-40B4-BE49-F238E27FC236}">
              <a16:creationId xmlns:a16="http://schemas.microsoft.com/office/drawing/2014/main" id="{00000000-0008-0000-0800-00000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4" name="Text Box 128">
          <a:extLst>
            <a:ext uri="{FF2B5EF4-FFF2-40B4-BE49-F238E27FC236}">
              <a16:creationId xmlns:a16="http://schemas.microsoft.com/office/drawing/2014/main" id="{00000000-0008-0000-0800-00000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5" name="Text Box 129">
          <a:extLst>
            <a:ext uri="{FF2B5EF4-FFF2-40B4-BE49-F238E27FC236}">
              <a16:creationId xmlns:a16="http://schemas.microsoft.com/office/drawing/2014/main" id="{00000000-0008-0000-0800-00000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6" name="Text Box 130">
          <a:extLst>
            <a:ext uri="{FF2B5EF4-FFF2-40B4-BE49-F238E27FC236}">
              <a16:creationId xmlns:a16="http://schemas.microsoft.com/office/drawing/2014/main" id="{00000000-0008-0000-0800-00000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7" name="Text Box 133">
          <a:extLst>
            <a:ext uri="{FF2B5EF4-FFF2-40B4-BE49-F238E27FC236}">
              <a16:creationId xmlns:a16="http://schemas.microsoft.com/office/drawing/2014/main" id="{00000000-0008-0000-0800-00000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8" name="Text Box 134">
          <a:extLst>
            <a:ext uri="{FF2B5EF4-FFF2-40B4-BE49-F238E27FC236}">
              <a16:creationId xmlns:a16="http://schemas.microsoft.com/office/drawing/2014/main" id="{00000000-0008-0000-0800-00000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9" name="Text Box 135">
          <a:extLst>
            <a:ext uri="{FF2B5EF4-FFF2-40B4-BE49-F238E27FC236}">
              <a16:creationId xmlns:a16="http://schemas.microsoft.com/office/drawing/2014/main" id="{00000000-0008-0000-0800-00000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0" name="Text Box 136">
          <a:extLst>
            <a:ext uri="{FF2B5EF4-FFF2-40B4-BE49-F238E27FC236}">
              <a16:creationId xmlns:a16="http://schemas.microsoft.com/office/drawing/2014/main" id="{00000000-0008-0000-0800-00001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1" name="Text Box 137">
          <a:extLst>
            <a:ext uri="{FF2B5EF4-FFF2-40B4-BE49-F238E27FC236}">
              <a16:creationId xmlns:a16="http://schemas.microsoft.com/office/drawing/2014/main" id="{00000000-0008-0000-0800-00001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2" name="Text Box 138">
          <a:extLst>
            <a:ext uri="{FF2B5EF4-FFF2-40B4-BE49-F238E27FC236}">
              <a16:creationId xmlns:a16="http://schemas.microsoft.com/office/drawing/2014/main" id="{00000000-0008-0000-0800-00001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3" name="Text Box 139">
          <a:extLst>
            <a:ext uri="{FF2B5EF4-FFF2-40B4-BE49-F238E27FC236}">
              <a16:creationId xmlns:a16="http://schemas.microsoft.com/office/drawing/2014/main" id="{00000000-0008-0000-0800-00001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4" name="Text Box 140">
          <a:extLst>
            <a:ext uri="{FF2B5EF4-FFF2-40B4-BE49-F238E27FC236}">
              <a16:creationId xmlns:a16="http://schemas.microsoft.com/office/drawing/2014/main" id="{00000000-0008-0000-0800-00001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5" name="Text Box 141">
          <a:extLst>
            <a:ext uri="{FF2B5EF4-FFF2-40B4-BE49-F238E27FC236}">
              <a16:creationId xmlns:a16="http://schemas.microsoft.com/office/drawing/2014/main" id="{00000000-0008-0000-0800-00001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6" name="Text Box 142">
          <a:extLst>
            <a:ext uri="{FF2B5EF4-FFF2-40B4-BE49-F238E27FC236}">
              <a16:creationId xmlns:a16="http://schemas.microsoft.com/office/drawing/2014/main" id="{00000000-0008-0000-0800-00001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7" name="Text Box 143">
          <a:extLst>
            <a:ext uri="{FF2B5EF4-FFF2-40B4-BE49-F238E27FC236}">
              <a16:creationId xmlns:a16="http://schemas.microsoft.com/office/drawing/2014/main" id="{00000000-0008-0000-0800-00001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8" name="Text Box 144">
          <a:extLst>
            <a:ext uri="{FF2B5EF4-FFF2-40B4-BE49-F238E27FC236}">
              <a16:creationId xmlns:a16="http://schemas.microsoft.com/office/drawing/2014/main" id="{00000000-0008-0000-0800-00001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9" name="Text Box 145">
          <a:extLst>
            <a:ext uri="{FF2B5EF4-FFF2-40B4-BE49-F238E27FC236}">
              <a16:creationId xmlns:a16="http://schemas.microsoft.com/office/drawing/2014/main" id="{00000000-0008-0000-0800-00001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0" name="Text Box 146">
          <a:extLst>
            <a:ext uri="{FF2B5EF4-FFF2-40B4-BE49-F238E27FC236}">
              <a16:creationId xmlns:a16="http://schemas.microsoft.com/office/drawing/2014/main" id="{00000000-0008-0000-0800-00001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1" name="Text Box 147">
          <a:extLst>
            <a:ext uri="{FF2B5EF4-FFF2-40B4-BE49-F238E27FC236}">
              <a16:creationId xmlns:a16="http://schemas.microsoft.com/office/drawing/2014/main" id="{00000000-0008-0000-0800-00001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2" name="Text Box 148">
          <a:extLst>
            <a:ext uri="{FF2B5EF4-FFF2-40B4-BE49-F238E27FC236}">
              <a16:creationId xmlns:a16="http://schemas.microsoft.com/office/drawing/2014/main" id="{00000000-0008-0000-0800-00001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3" name="Text Box 149">
          <a:extLst>
            <a:ext uri="{FF2B5EF4-FFF2-40B4-BE49-F238E27FC236}">
              <a16:creationId xmlns:a16="http://schemas.microsoft.com/office/drawing/2014/main" id="{00000000-0008-0000-0800-00001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4" name="Text Box 150">
          <a:extLst>
            <a:ext uri="{FF2B5EF4-FFF2-40B4-BE49-F238E27FC236}">
              <a16:creationId xmlns:a16="http://schemas.microsoft.com/office/drawing/2014/main" id="{00000000-0008-0000-0800-00001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5" name="Text Box 151">
          <a:extLst>
            <a:ext uri="{FF2B5EF4-FFF2-40B4-BE49-F238E27FC236}">
              <a16:creationId xmlns:a16="http://schemas.microsoft.com/office/drawing/2014/main" id="{00000000-0008-0000-0800-00001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6" name="Text Box 152">
          <a:extLst>
            <a:ext uri="{FF2B5EF4-FFF2-40B4-BE49-F238E27FC236}">
              <a16:creationId xmlns:a16="http://schemas.microsoft.com/office/drawing/2014/main" id="{00000000-0008-0000-0800-00002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7" name="Text Box 153">
          <a:extLst>
            <a:ext uri="{FF2B5EF4-FFF2-40B4-BE49-F238E27FC236}">
              <a16:creationId xmlns:a16="http://schemas.microsoft.com/office/drawing/2014/main" id="{00000000-0008-0000-0800-00002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8" name="Text Box 154">
          <a:extLst>
            <a:ext uri="{FF2B5EF4-FFF2-40B4-BE49-F238E27FC236}">
              <a16:creationId xmlns:a16="http://schemas.microsoft.com/office/drawing/2014/main" id="{00000000-0008-0000-0800-00002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9" name="Text Box 155">
          <a:extLst>
            <a:ext uri="{FF2B5EF4-FFF2-40B4-BE49-F238E27FC236}">
              <a16:creationId xmlns:a16="http://schemas.microsoft.com/office/drawing/2014/main" id="{00000000-0008-0000-0800-00002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0" name="Text Box 156">
          <a:extLst>
            <a:ext uri="{FF2B5EF4-FFF2-40B4-BE49-F238E27FC236}">
              <a16:creationId xmlns:a16="http://schemas.microsoft.com/office/drawing/2014/main" id="{00000000-0008-0000-0800-00002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1" name="Text Box 157">
          <a:extLst>
            <a:ext uri="{FF2B5EF4-FFF2-40B4-BE49-F238E27FC236}">
              <a16:creationId xmlns:a16="http://schemas.microsoft.com/office/drawing/2014/main" id="{00000000-0008-0000-0800-00002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2" name="Text Box 158">
          <a:extLst>
            <a:ext uri="{FF2B5EF4-FFF2-40B4-BE49-F238E27FC236}">
              <a16:creationId xmlns:a16="http://schemas.microsoft.com/office/drawing/2014/main" id="{00000000-0008-0000-0800-00002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3" name="Text Box 159">
          <a:extLst>
            <a:ext uri="{FF2B5EF4-FFF2-40B4-BE49-F238E27FC236}">
              <a16:creationId xmlns:a16="http://schemas.microsoft.com/office/drawing/2014/main" id="{00000000-0008-0000-0800-00002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4" name="Text Box 160">
          <a:extLst>
            <a:ext uri="{FF2B5EF4-FFF2-40B4-BE49-F238E27FC236}">
              <a16:creationId xmlns:a16="http://schemas.microsoft.com/office/drawing/2014/main" id="{00000000-0008-0000-0800-00002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5" name="Text Box 161">
          <a:extLst>
            <a:ext uri="{FF2B5EF4-FFF2-40B4-BE49-F238E27FC236}">
              <a16:creationId xmlns:a16="http://schemas.microsoft.com/office/drawing/2014/main" id="{00000000-0008-0000-0800-00002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6" name="Text Box 162">
          <a:extLst>
            <a:ext uri="{FF2B5EF4-FFF2-40B4-BE49-F238E27FC236}">
              <a16:creationId xmlns:a16="http://schemas.microsoft.com/office/drawing/2014/main" id="{00000000-0008-0000-0800-00002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7" name="Text Box 163">
          <a:extLst>
            <a:ext uri="{FF2B5EF4-FFF2-40B4-BE49-F238E27FC236}">
              <a16:creationId xmlns:a16="http://schemas.microsoft.com/office/drawing/2014/main" id="{00000000-0008-0000-0800-00002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8" name="Text Box 164">
          <a:extLst>
            <a:ext uri="{FF2B5EF4-FFF2-40B4-BE49-F238E27FC236}">
              <a16:creationId xmlns:a16="http://schemas.microsoft.com/office/drawing/2014/main" id="{00000000-0008-0000-0800-00002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9" name="Text Box 165">
          <a:extLst>
            <a:ext uri="{FF2B5EF4-FFF2-40B4-BE49-F238E27FC236}">
              <a16:creationId xmlns:a16="http://schemas.microsoft.com/office/drawing/2014/main" id="{00000000-0008-0000-0800-00002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0" name="Text Box 166">
          <a:extLst>
            <a:ext uri="{FF2B5EF4-FFF2-40B4-BE49-F238E27FC236}">
              <a16:creationId xmlns:a16="http://schemas.microsoft.com/office/drawing/2014/main" id="{00000000-0008-0000-0800-00002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1" name="Text Box 167">
          <a:extLst>
            <a:ext uri="{FF2B5EF4-FFF2-40B4-BE49-F238E27FC236}">
              <a16:creationId xmlns:a16="http://schemas.microsoft.com/office/drawing/2014/main" id="{00000000-0008-0000-0800-00002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2" name="Text Box 168">
          <a:extLst>
            <a:ext uri="{FF2B5EF4-FFF2-40B4-BE49-F238E27FC236}">
              <a16:creationId xmlns:a16="http://schemas.microsoft.com/office/drawing/2014/main" id="{00000000-0008-0000-0800-00003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3" name="Text Box 169">
          <a:extLst>
            <a:ext uri="{FF2B5EF4-FFF2-40B4-BE49-F238E27FC236}">
              <a16:creationId xmlns:a16="http://schemas.microsoft.com/office/drawing/2014/main" id="{00000000-0008-0000-0800-00003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4" name="Text Box 170">
          <a:extLst>
            <a:ext uri="{FF2B5EF4-FFF2-40B4-BE49-F238E27FC236}">
              <a16:creationId xmlns:a16="http://schemas.microsoft.com/office/drawing/2014/main" id="{00000000-0008-0000-0800-00003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5" name="Text Box 171">
          <a:extLst>
            <a:ext uri="{FF2B5EF4-FFF2-40B4-BE49-F238E27FC236}">
              <a16:creationId xmlns:a16="http://schemas.microsoft.com/office/drawing/2014/main" id="{00000000-0008-0000-0800-00003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6" name="Text Box 172">
          <a:extLst>
            <a:ext uri="{FF2B5EF4-FFF2-40B4-BE49-F238E27FC236}">
              <a16:creationId xmlns:a16="http://schemas.microsoft.com/office/drawing/2014/main" id="{00000000-0008-0000-0800-00003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7" name="Text Box 173">
          <a:extLst>
            <a:ext uri="{FF2B5EF4-FFF2-40B4-BE49-F238E27FC236}">
              <a16:creationId xmlns:a16="http://schemas.microsoft.com/office/drawing/2014/main" id="{00000000-0008-0000-0800-00003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8" name="Text Box 174">
          <a:extLst>
            <a:ext uri="{FF2B5EF4-FFF2-40B4-BE49-F238E27FC236}">
              <a16:creationId xmlns:a16="http://schemas.microsoft.com/office/drawing/2014/main" id="{00000000-0008-0000-0800-00003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9" name="Text Box 175">
          <a:extLst>
            <a:ext uri="{FF2B5EF4-FFF2-40B4-BE49-F238E27FC236}">
              <a16:creationId xmlns:a16="http://schemas.microsoft.com/office/drawing/2014/main" id="{00000000-0008-0000-0800-00003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0" name="Text Box 176">
          <a:extLst>
            <a:ext uri="{FF2B5EF4-FFF2-40B4-BE49-F238E27FC236}">
              <a16:creationId xmlns:a16="http://schemas.microsoft.com/office/drawing/2014/main" id="{00000000-0008-0000-0800-00003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1" name="Text Box 177">
          <a:extLst>
            <a:ext uri="{FF2B5EF4-FFF2-40B4-BE49-F238E27FC236}">
              <a16:creationId xmlns:a16="http://schemas.microsoft.com/office/drawing/2014/main" id="{00000000-0008-0000-0800-00003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2" name="Text Box 178">
          <a:extLst>
            <a:ext uri="{FF2B5EF4-FFF2-40B4-BE49-F238E27FC236}">
              <a16:creationId xmlns:a16="http://schemas.microsoft.com/office/drawing/2014/main" id="{00000000-0008-0000-0800-00003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3" name="Text Box 179">
          <a:extLst>
            <a:ext uri="{FF2B5EF4-FFF2-40B4-BE49-F238E27FC236}">
              <a16:creationId xmlns:a16="http://schemas.microsoft.com/office/drawing/2014/main" id="{00000000-0008-0000-0800-00003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4" name="Text Box 180">
          <a:extLst>
            <a:ext uri="{FF2B5EF4-FFF2-40B4-BE49-F238E27FC236}">
              <a16:creationId xmlns:a16="http://schemas.microsoft.com/office/drawing/2014/main" id="{00000000-0008-0000-0800-00003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5" name="Text Box 181">
          <a:extLst>
            <a:ext uri="{FF2B5EF4-FFF2-40B4-BE49-F238E27FC236}">
              <a16:creationId xmlns:a16="http://schemas.microsoft.com/office/drawing/2014/main" id="{00000000-0008-0000-0800-00003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6" name="Text Box 182">
          <a:extLst>
            <a:ext uri="{FF2B5EF4-FFF2-40B4-BE49-F238E27FC236}">
              <a16:creationId xmlns:a16="http://schemas.microsoft.com/office/drawing/2014/main" id="{00000000-0008-0000-0800-00003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7" name="Text Box 183">
          <a:extLst>
            <a:ext uri="{FF2B5EF4-FFF2-40B4-BE49-F238E27FC236}">
              <a16:creationId xmlns:a16="http://schemas.microsoft.com/office/drawing/2014/main" id="{00000000-0008-0000-0800-00003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8" name="Text Box 184">
          <a:extLst>
            <a:ext uri="{FF2B5EF4-FFF2-40B4-BE49-F238E27FC236}">
              <a16:creationId xmlns:a16="http://schemas.microsoft.com/office/drawing/2014/main" id="{00000000-0008-0000-0800-00004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9" name="Text Box 185">
          <a:extLst>
            <a:ext uri="{FF2B5EF4-FFF2-40B4-BE49-F238E27FC236}">
              <a16:creationId xmlns:a16="http://schemas.microsoft.com/office/drawing/2014/main" id="{00000000-0008-0000-0800-00004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0" name="Text Box 186">
          <a:extLst>
            <a:ext uri="{FF2B5EF4-FFF2-40B4-BE49-F238E27FC236}">
              <a16:creationId xmlns:a16="http://schemas.microsoft.com/office/drawing/2014/main" id="{00000000-0008-0000-0800-00004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1" name="Text Box 187">
          <a:extLst>
            <a:ext uri="{FF2B5EF4-FFF2-40B4-BE49-F238E27FC236}">
              <a16:creationId xmlns:a16="http://schemas.microsoft.com/office/drawing/2014/main" id="{00000000-0008-0000-0800-00004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2" name="Text Box 188">
          <a:extLst>
            <a:ext uri="{FF2B5EF4-FFF2-40B4-BE49-F238E27FC236}">
              <a16:creationId xmlns:a16="http://schemas.microsoft.com/office/drawing/2014/main" id="{00000000-0008-0000-0800-00004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3" name="Text Box 189">
          <a:extLst>
            <a:ext uri="{FF2B5EF4-FFF2-40B4-BE49-F238E27FC236}">
              <a16:creationId xmlns:a16="http://schemas.microsoft.com/office/drawing/2014/main" id="{00000000-0008-0000-0800-00004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4" name="Text Box 190">
          <a:extLst>
            <a:ext uri="{FF2B5EF4-FFF2-40B4-BE49-F238E27FC236}">
              <a16:creationId xmlns:a16="http://schemas.microsoft.com/office/drawing/2014/main" id="{00000000-0008-0000-0800-00004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5" name="Text Box 191">
          <a:extLst>
            <a:ext uri="{FF2B5EF4-FFF2-40B4-BE49-F238E27FC236}">
              <a16:creationId xmlns:a16="http://schemas.microsoft.com/office/drawing/2014/main" id="{00000000-0008-0000-0800-00004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6" name="Text Box 192">
          <a:extLst>
            <a:ext uri="{FF2B5EF4-FFF2-40B4-BE49-F238E27FC236}">
              <a16:creationId xmlns:a16="http://schemas.microsoft.com/office/drawing/2014/main" id="{00000000-0008-0000-0800-00004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7" name="Text Box 193">
          <a:extLst>
            <a:ext uri="{FF2B5EF4-FFF2-40B4-BE49-F238E27FC236}">
              <a16:creationId xmlns:a16="http://schemas.microsoft.com/office/drawing/2014/main" id="{00000000-0008-0000-0800-00004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8" name="Text Box 194">
          <a:extLst>
            <a:ext uri="{FF2B5EF4-FFF2-40B4-BE49-F238E27FC236}">
              <a16:creationId xmlns:a16="http://schemas.microsoft.com/office/drawing/2014/main" id="{00000000-0008-0000-0800-00004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9" name="Text Box 195">
          <a:extLst>
            <a:ext uri="{FF2B5EF4-FFF2-40B4-BE49-F238E27FC236}">
              <a16:creationId xmlns:a16="http://schemas.microsoft.com/office/drawing/2014/main" id="{00000000-0008-0000-0800-00004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0" name="Text Box 196">
          <a:extLst>
            <a:ext uri="{FF2B5EF4-FFF2-40B4-BE49-F238E27FC236}">
              <a16:creationId xmlns:a16="http://schemas.microsoft.com/office/drawing/2014/main" id="{00000000-0008-0000-0800-00004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1" name="Text Box 197">
          <a:extLst>
            <a:ext uri="{FF2B5EF4-FFF2-40B4-BE49-F238E27FC236}">
              <a16:creationId xmlns:a16="http://schemas.microsoft.com/office/drawing/2014/main" id="{00000000-0008-0000-0800-00004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2" name="Text Box 198">
          <a:extLst>
            <a:ext uri="{FF2B5EF4-FFF2-40B4-BE49-F238E27FC236}">
              <a16:creationId xmlns:a16="http://schemas.microsoft.com/office/drawing/2014/main" id="{00000000-0008-0000-0800-00004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3" name="Text Box 199">
          <a:extLst>
            <a:ext uri="{FF2B5EF4-FFF2-40B4-BE49-F238E27FC236}">
              <a16:creationId xmlns:a16="http://schemas.microsoft.com/office/drawing/2014/main" id="{00000000-0008-0000-0800-00004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4" name="Text Box 200">
          <a:extLst>
            <a:ext uri="{FF2B5EF4-FFF2-40B4-BE49-F238E27FC236}">
              <a16:creationId xmlns:a16="http://schemas.microsoft.com/office/drawing/2014/main" id="{00000000-0008-0000-0800-00005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5" name="Text Box 201">
          <a:extLst>
            <a:ext uri="{FF2B5EF4-FFF2-40B4-BE49-F238E27FC236}">
              <a16:creationId xmlns:a16="http://schemas.microsoft.com/office/drawing/2014/main" id="{00000000-0008-0000-0800-00005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6" name="Text Box 202">
          <a:extLst>
            <a:ext uri="{FF2B5EF4-FFF2-40B4-BE49-F238E27FC236}">
              <a16:creationId xmlns:a16="http://schemas.microsoft.com/office/drawing/2014/main" id="{00000000-0008-0000-0800-00005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7" name="Text Box 203">
          <a:extLst>
            <a:ext uri="{FF2B5EF4-FFF2-40B4-BE49-F238E27FC236}">
              <a16:creationId xmlns:a16="http://schemas.microsoft.com/office/drawing/2014/main" id="{00000000-0008-0000-0800-00005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8" name="Text Box 204">
          <a:extLst>
            <a:ext uri="{FF2B5EF4-FFF2-40B4-BE49-F238E27FC236}">
              <a16:creationId xmlns:a16="http://schemas.microsoft.com/office/drawing/2014/main" id="{00000000-0008-0000-0800-00005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9" name="Text Box 205">
          <a:extLst>
            <a:ext uri="{FF2B5EF4-FFF2-40B4-BE49-F238E27FC236}">
              <a16:creationId xmlns:a16="http://schemas.microsoft.com/office/drawing/2014/main" id="{00000000-0008-0000-0800-00005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0" name="Text Box 206">
          <a:extLst>
            <a:ext uri="{FF2B5EF4-FFF2-40B4-BE49-F238E27FC236}">
              <a16:creationId xmlns:a16="http://schemas.microsoft.com/office/drawing/2014/main" id="{00000000-0008-0000-0800-00005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1" name="Text Box 207">
          <a:extLst>
            <a:ext uri="{FF2B5EF4-FFF2-40B4-BE49-F238E27FC236}">
              <a16:creationId xmlns:a16="http://schemas.microsoft.com/office/drawing/2014/main" id="{00000000-0008-0000-0800-00005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2" name="Text Box 208">
          <a:extLst>
            <a:ext uri="{FF2B5EF4-FFF2-40B4-BE49-F238E27FC236}">
              <a16:creationId xmlns:a16="http://schemas.microsoft.com/office/drawing/2014/main" id="{00000000-0008-0000-0800-00005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3" name="Text Box 209">
          <a:extLst>
            <a:ext uri="{FF2B5EF4-FFF2-40B4-BE49-F238E27FC236}">
              <a16:creationId xmlns:a16="http://schemas.microsoft.com/office/drawing/2014/main" id="{00000000-0008-0000-0800-00005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4" name="Text Box 210">
          <a:extLst>
            <a:ext uri="{FF2B5EF4-FFF2-40B4-BE49-F238E27FC236}">
              <a16:creationId xmlns:a16="http://schemas.microsoft.com/office/drawing/2014/main" id="{00000000-0008-0000-0800-00005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5" name="Text Box 211">
          <a:extLst>
            <a:ext uri="{FF2B5EF4-FFF2-40B4-BE49-F238E27FC236}">
              <a16:creationId xmlns:a16="http://schemas.microsoft.com/office/drawing/2014/main" id="{00000000-0008-0000-0800-00005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6" name="Text Box 212">
          <a:extLst>
            <a:ext uri="{FF2B5EF4-FFF2-40B4-BE49-F238E27FC236}">
              <a16:creationId xmlns:a16="http://schemas.microsoft.com/office/drawing/2014/main" id="{00000000-0008-0000-0800-00005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7" name="Text Box 213">
          <a:extLst>
            <a:ext uri="{FF2B5EF4-FFF2-40B4-BE49-F238E27FC236}">
              <a16:creationId xmlns:a16="http://schemas.microsoft.com/office/drawing/2014/main" id="{00000000-0008-0000-0800-00005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8" name="Text Box 214">
          <a:extLst>
            <a:ext uri="{FF2B5EF4-FFF2-40B4-BE49-F238E27FC236}">
              <a16:creationId xmlns:a16="http://schemas.microsoft.com/office/drawing/2014/main" id="{00000000-0008-0000-0800-00005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9" name="Text Box 215">
          <a:extLst>
            <a:ext uri="{FF2B5EF4-FFF2-40B4-BE49-F238E27FC236}">
              <a16:creationId xmlns:a16="http://schemas.microsoft.com/office/drawing/2014/main" id="{00000000-0008-0000-0800-00005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0" name="Text Box 216">
          <a:extLst>
            <a:ext uri="{FF2B5EF4-FFF2-40B4-BE49-F238E27FC236}">
              <a16:creationId xmlns:a16="http://schemas.microsoft.com/office/drawing/2014/main" id="{00000000-0008-0000-0800-00006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1" name="Text Box 217">
          <a:extLst>
            <a:ext uri="{FF2B5EF4-FFF2-40B4-BE49-F238E27FC236}">
              <a16:creationId xmlns:a16="http://schemas.microsoft.com/office/drawing/2014/main" id="{00000000-0008-0000-0800-00006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2" name="Text Box 218">
          <a:extLst>
            <a:ext uri="{FF2B5EF4-FFF2-40B4-BE49-F238E27FC236}">
              <a16:creationId xmlns:a16="http://schemas.microsoft.com/office/drawing/2014/main" id="{00000000-0008-0000-0800-00006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3" name="Text Box 219">
          <a:extLst>
            <a:ext uri="{FF2B5EF4-FFF2-40B4-BE49-F238E27FC236}">
              <a16:creationId xmlns:a16="http://schemas.microsoft.com/office/drawing/2014/main" id="{00000000-0008-0000-0800-00006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4" name="Text Box 220">
          <a:extLst>
            <a:ext uri="{FF2B5EF4-FFF2-40B4-BE49-F238E27FC236}">
              <a16:creationId xmlns:a16="http://schemas.microsoft.com/office/drawing/2014/main" id="{00000000-0008-0000-0800-00006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5" name="Text Box 221">
          <a:extLst>
            <a:ext uri="{FF2B5EF4-FFF2-40B4-BE49-F238E27FC236}">
              <a16:creationId xmlns:a16="http://schemas.microsoft.com/office/drawing/2014/main" id="{00000000-0008-0000-0800-00006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6" name="Text Box 222">
          <a:extLst>
            <a:ext uri="{FF2B5EF4-FFF2-40B4-BE49-F238E27FC236}">
              <a16:creationId xmlns:a16="http://schemas.microsoft.com/office/drawing/2014/main" id="{00000000-0008-0000-0800-00006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7" name="Text Box 223">
          <a:extLst>
            <a:ext uri="{FF2B5EF4-FFF2-40B4-BE49-F238E27FC236}">
              <a16:creationId xmlns:a16="http://schemas.microsoft.com/office/drawing/2014/main" id="{00000000-0008-0000-0800-00006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8" name="Text Box 224">
          <a:extLst>
            <a:ext uri="{FF2B5EF4-FFF2-40B4-BE49-F238E27FC236}">
              <a16:creationId xmlns:a16="http://schemas.microsoft.com/office/drawing/2014/main" id="{00000000-0008-0000-0800-00006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9" name="Text Box 225">
          <a:extLst>
            <a:ext uri="{FF2B5EF4-FFF2-40B4-BE49-F238E27FC236}">
              <a16:creationId xmlns:a16="http://schemas.microsoft.com/office/drawing/2014/main" id="{00000000-0008-0000-0800-00006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70" name="Text Box 226">
          <a:extLst>
            <a:ext uri="{FF2B5EF4-FFF2-40B4-BE49-F238E27FC236}">
              <a16:creationId xmlns:a16="http://schemas.microsoft.com/office/drawing/2014/main" id="{00000000-0008-0000-0800-00006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1" name="Text Box 227">
          <a:extLst>
            <a:ext uri="{FF2B5EF4-FFF2-40B4-BE49-F238E27FC236}">
              <a16:creationId xmlns:a16="http://schemas.microsoft.com/office/drawing/2014/main" id="{00000000-0008-0000-0800-00006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2" name="Text Box 228">
          <a:extLst>
            <a:ext uri="{FF2B5EF4-FFF2-40B4-BE49-F238E27FC236}">
              <a16:creationId xmlns:a16="http://schemas.microsoft.com/office/drawing/2014/main" id="{00000000-0008-0000-0800-00006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3" name="Text Box 229">
          <a:extLst>
            <a:ext uri="{FF2B5EF4-FFF2-40B4-BE49-F238E27FC236}">
              <a16:creationId xmlns:a16="http://schemas.microsoft.com/office/drawing/2014/main" id="{00000000-0008-0000-0800-00006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4" name="Text Box 230">
          <a:extLst>
            <a:ext uri="{FF2B5EF4-FFF2-40B4-BE49-F238E27FC236}">
              <a16:creationId xmlns:a16="http://schemas.microsoft.com/office/drawing/2014/main" id="{00000000-0008-0000-0800-00006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5" name="Text Box 231">
          <a:extLst>
            <a:ext uri="{FF2B5EF4-FFF2-40B4-BE49-F238E27FC236}">
              <a16:creationId xmlns:a16="http://schemas.microsoft.com/office/drawing/2014/main" id="{00000000-0008-0000-0800-00006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6" name="Text Box 232">
          <a:extLst>
            <a:ext uri="{FF2B5EF4-FFF2-40B4-BE49-F238E27FC236}">
              <a16:creationId xmlns:a16="http://schemas.microsoft.com/office/drawing/2014/main" id="{00000000-0008-0000-0800-00007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7" name="Text Box 233">
          <a:extLst>
            <a:ext uri="{FF2B5EF4-FFF2-40B4-BE49-F238E27FC236}">
              <a16:creationId xmlns:a16="http://schemas.microsoft.com/office/drawing/2014/main" id="{00000000-0008-0000-0800-00007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8" name="Text Box 234">
          <a:extLst>
            <a:ext uri="{FF2B5EF4-FFF2-40B4-BE49-F238E27FC236}">
              <a16:creationId xmlns:a16="http://schemas.microsoft.com/office/drawing/2014/main" id="{00000000-0008-0000-0800-00007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9" name="Text Box 235">
          <a:extLst>
            <a:ext uri="{FF2B5EF4-FFF2-40B4-BE49-F238E27FC236}">
              <a16:creationId xmlns:a16="http://schemas.microsoft.com/office/drawing/2014/main" id="{00000000-0008-0000-0800-00007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0" name="Text Box 236">
          <a:extLst>
            <a:ext uri="{FF2B5EF4-FFF2-40B4-BE49-F238E27FC236}">
              <a16:creationId xmlns:a16="http://schemas.microsoft.com/office/drawing/2014/main" id="{00000000-0008-0000-0800-00007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1" name="Text Box 237">
          <a:extLst>
            <a:ext uri="{FF2B5EF4-FFF2-40B4-BE49-F238E27FC236}">
              <a16:creationId xmlns:a16="http://schemas.microsoft.com/office/drawing/2014/main" id="{00000000-0008-0000-0800-00007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2" name="Text Box 238">
          <a:extLst>
            <a:ext uri="{FF2B5EF4-FFF2-40B4-BE49-F238E27FC236}">
              <a16:creationId xmlns:a16="http://schemas.microsoft.com/office/drawing/2014/main" id="{00000000-0008-0000-0800-00007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3" name="Text Box 239">
          <a:extLst>
            <a:ext uri="{FF2B5EF4-FFF2-40B4-BE49-F238E27FC236}">
              <a16:creationId xmlns:a16="http://schemas.microsoft.com/office/drawing/2014/main" id="{00000000-0008-0000-0800-00007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4" name="Text Box 240">
          <a:extLst>
            <a:ext uri="{FF2B5EF4-FFF2-40B4-BE49-F238E27FC236}">
              <a16:creationId xmlns:a16="http://schemas.microsoft.com/office/drawing/2014/main" id="{00000000-0008-0000-0800-00007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5" name="Text Box 241">
          <a:extLst>
            <a:ext uri="{FF2B5EF4-FFF2-40B4-BE49-F238E27FC236}">
              <a16:creationId xmlns:a16="http://schemas.microsoft.com/office/drawing/2014/main" id="{00000000-0008-0000-0800-00007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6" name="Text Box 242">
          <a:extLst>
            <a:ext uri="{FF2B5EF4-FFF2-40B4-BE49-F238E27FC236}">
              <a16:creationId xmlns:a16="http://schemas.microsoft.com/office/drawing/2014/main" id="{00000000-0008-0000-0800-00007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7" name="Text Box 243">
          <a:extLst>
            <a:ext uri="{FF2B5EF4-FFF2-40B4-BE49-F238E27FC236}">
              <a16:creationId xmlns:a16="http://schemas.microsoft.com/office/drawing/2014/main" id="{00000000-0008-0000-0800-00007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8" name="Text Box 244">
          <a:extLst>
            <a:ext uri="{FF2B5EF4-FFF2-40B4-BE49-F238E27FC236}">
              <a16:creationId xmlns:a16="http://schemas.microsoft.com/office/drawing/2014/main" id="{00000000-0008-0000-0800-00007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9" name="Text Box 245">
          <a:extLst>
            <a:ext uri="{FF2B5EF4-FFF2-40B4-BE49-F238E27FC236}">
              <a16:creationId xmlns:a16="http://schemas.microsoft.com/office/drawing/2014/main" id="{00000000-0008-0000-0800-00007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0" name="Text Box 246">
          <a:extLst>
            <a:ext uri="{FF2B5EF4-FFF2-40B4-BE49-F238E27FC236}">
              <a16:creationId xmlns:a16="http://schemas.microsoft.com/office/drawing/2014/main" id="{00000000-0008-0000-0800-00007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1" name="Text Box 247">
          <a:extLst>
            <a:ext uri="{FF2B5EF4-FFF2-40B4-BE49-F238E27FC236}">
              <a16:creationId xmlns:a16="http://schemas.microsoft.com/office/drawing/2014/main" id="{00000000-0008-0000-0800-00007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2" name="Text Box 248">
          <a:extLst>
            <a:ext uri="{FF2B5EF4-FFF2-40B4-BE49-F238E27FC236}">
              <a16:creationId xmlns:a16="http://schemas.microsoft.com/office/drawing/2014/main" id="{00000000-0008-0000-0800-00008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3" name="Text Box 249">
          <a:extLst>
            <a:ext uri="{FF2B5EF4-FFF2-40B4-BE49-F238E27FC236}">
              <a16:creationId xmlns:a16="http://schemas.microsoft.com/office/drawing/2014/main" id="{00000000-0008-0000-0800-00008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4" name="Text Box 250">
          <a:extLst>
            <a:ext uri="{FF2B5EF4-FFF2-40B4-BE49-F238E27FC236}">
              <a16:creationId xmlns:a16="http://schemas.microsoft.com/office/drawing/2014/main" id="{00000000-0008-0000-0800-00008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5" name="Text Box 251">
          <a:extLst>
            <a:ext uri="{FF2B5EF4-FFF2-40B4-BE49-F238E27FC236}">
              <a16:creationId xmlns:a16="http://schemas.microsoft.com/office/drawing/2014/main" id="{00000000-0008-0000-0800-00008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6" name="Text Box 252">
          <a:extLst>
            <a:ext uri="{FF2B5EF4-FFF2-40B4-BE49-F238E27FC236}">
              <a16:creationId xmlns:a16="http://schemas.microsoft.com/office/drawing/2014/main" id="{00000000-0008-0000-0800-00008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7" name="Text Box 253">
          <a:extLst>
            <a:ext uri="{FF2B5EF4-FFF2-40B4-BE49-F238E27FC236}">
              <a16:creationId xmlns:a16="http://schemas.microsoft.com/office/drawing/2014/main" id="{00000000-0008-0000-0800-00008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8" name="Text Box 254">
          <a:extLst>
            <a:ext uri="{FF2B5EF4-FFF2-40B4-BE49-F238E27FC236}">
              <a16:creationId xmlns:a16="http://schemas.microsoft.com/office/drawing/2014/main" id="{00000000-0008-0000-0800-00008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9" name="Text Box 255">
          <a:extLst>
            <a:ext uri="{FF2B5EF4-FFF2-40B4-BE49-F238E27FC236}">
              <a16:creationId xmlns:a16="http://schemas.microsoft.com/office/drawing/2014/main" id="{00000000-0008-0000-0800-00008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0" name="Text Box 256">
          <a:extLst>
            <a:ext uri="{FF2B5EF4-FFF2-40B4-BE49-F238E27FC236}">
              <a16:creationId xmlns:a16="http://schemas.microsoft.com/office/drawing/2014/main" id="{00000000-0008-0000-0800-00008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1" name="Text Box 257">
          <a:extLst>
            <a:ext uri="{FF2B5EF4-FFF2-40B4-BE49-F238E27FC236}">
              <a16:creationId xmlns:a16="http://schemas.microsoft.com/office/drawing/2014/main" id="{00000000-0008-0000-0800-00008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2" name="Text Box 258">
          <a:extLst>
            <a:ext uri="{FF2B5EF4-FFF2-40B4-BE49-F238E27FC236}">
              <a16:creationId xmlns:a16="http://schemas.microsoft.com/office/drawing/2014/main" id="{00000000-0008-0000-0800-00008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3" name="Text Box 259">
          <a:extLst>
            <a:ext uri="{FF2B5EF4-FFF2-40B4-BE49-F238E27FC236}">
              <a16:creationId xmlns:a16="http://schemas.microsoft.com/office/drawing/2014/main" id="{00000000-0008-0000-0800-00008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4" name="Text Box 260">
          <a:extLst>
            <a:ext uri="{FF2B5EF4-FFF2-40B4-BE49-F238E27FC236}">
              <a16:creationId xmlns:a16="http://schemas.microsoft.com/office/drawing/2014/main" id="{00000000-0008-0000-0800-00008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5" name="Text Box 261">
          <a:extLst>
            <a:ext uri="{FF2B5EF4-FFF2-40B4-BE49-F238E27FC236}">
              <a16:creationId xmlns:a16="http://schemas.microsoft.com/office/drawing/2014/main" id="{00000000-0008-0000-0800-00008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6" name="Text Box 262">
          <a:extLst>
            <a:ext uri="{FF2B5EF4-FFF2-40B4-BE49-F238E27FC236}">
              <a16:creationId xmlns:a16="http://schemas.microsoft.com/office/drawing/2014/main" id="{00000000-0008-0000-0800-00008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7" name="Text Box 263">
          <a:extLst>
            <a:ext uri="{FF2B5EF4-FFF2-40B4-BE49-F238E27FC236}">
              <a16:creationId xmlns:a16="http://schemas.microsoft.com/office/drawing/2014/main" id="{00000000-0008-0000-0800-00008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8" name="Text Box 264">
          <a:extLst>
            <a:ext uri="{FF2B5EF4-FFF2-40B4-BE49-F238E27FC236}">
              <a16:creationId xmlns:a16="http://schemas.microsoft.com/office/drawing/2014/main" id="{00000000-0008-0000-0800-00009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9" name="Text Box 265">
          <a:extLst>
            <a:ext uri="{FF2B5EF4-FFF2-40B4-BE49-F238E27FC236}">
              <a16:creationId xmlns:a16="http://schemas.microsoft.com/office/drawing/2014/main" id="{00000000-0008-0000-0800-00009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0" name="Text Box 266">
          <a:extLst>
            <a:ext uri="{FF2B5EF4-FFF2-40B4-BE49-F238E27FC236}">
              <a16:creationId xmlns:a16="http://schemas.microsoft.com/office/drawing/2014/main" id="{00000000-0008-0000-0800-00009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1" name="Text Box 267">
          <a:extLst>
            <a:ext uri="{FF2B5EF4-FFF2-40B4-BE49-F238E27FC236}">
              <a16:creationId xmlns:a16="http://schemas.microsoft.com/office/drawing/2014/main" id="{00000000-0008-0000-0800-00009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2" name="Text Box 268">
          <a:extLst>
            <a:ext uri="{FF2B5EF4-FFF2-40B4-BE49-F238E27FC236}">
              <a16:creationId xmlns:a16="http://schemas.microsoft.com/office/drawing/2014/main" id="{00000000-0008-0000-0800-00009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3" name="Text Box 269">
          <a:extLst>
            <a:ext uri="{FF2B5EF4-FFF2-40B4-BE49-F238E27FC236}">
              <a16:creationId xmlns:a16="http://schemas.microsoft.com/office/drawing/2014/main" id="{00000000-0008-0000-0800-00009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4" name="Text Box 270">
          <a:extLst>
            <a:ext uri="{FF2B5EF4-FFF2-40B4-BE49-F238E27FC236}">
              <a16:creationId xmlns:a16="http://schemas.microsoft.com/office/drawing/2014/main" id="{00000000-0008-0000-0800-00009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5" name="Text Box 271">
          <a:extLst>
            <a:ext uri="{FF2B5EF4-FFF2-40B4-BE49-F238E27FC236}">
              <a16:creationId xmlns:a16="http://schemas.microsoft.com/office/drawing/2014/main" id="{00000000-0008-0000-0800-00009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6" name="Text Box 272">
          <a:extLst>
            <a:ext uri="{FF2B5EF4-FFF2-40B4-BE49-F238E27FC236}">
              <a16:creationId xmlns:a16="http://schemas.microsoft.com/office/drawing/2014/main" id="{00000000-0008-0000-0800-00009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7" name="Text Box 273">
          <a:extLst>
            <a:ext uri="{FF2B5EF4-FFF2-40B4-BE49-F238E27FC236}">
              <a16:creationId xmlns:a16="http://schemas.microsoft.com/office/drawing/2014/main" id="{00000000-0008-0000-0800-00009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8" name="Text Box 274">
          <a:extLst>
            <a:ext uri="{FF2B5EF4-FFF2-40B4-BE49-F238E27FC236}">
              <a16:creationId xmlns:a16="http://schemas.microsoft.com/office/drawing/2014/main" id="{00000000-0008-0000-0800-00009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9" name="Text Box 275">
          <a:extLst>
            <a:ext uri="{FF2B5EF4-FFF2-40B4-BE49-F238E27FC236}">
              <a16:creationId xmlns:a16="http://schemas.microsoft.com/office/drawing/2014/main" id="{00000000-0008-0000-0800-00009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0" name="Text Box 276">
          <a:extLst>
            <a:ext uri="{FF2B5EF4-FFF2-40B4-BE49-F238E27FC236}">
              <a16:creationId xmlns:a16="http://schemas.microsoft.com/office/drawing/2014/main" id="{00000000-0008-0000-0800-00009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1" name="Text Box 277">
          <a:extLst>
            <a:ext uri="{FF2B5EF4-FFF2-40B4-BE49-F238E27FC236}">
              <a16:creationId xmlns:a16="http://schemas.microsoft.com/office/drawing/2014/main" id="{00000000-0008-0000-0800-00009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2" name="Text Box 278">
          <a:extLst>
            <a:ext uri="{FF2B5EF4-FFF2-40B4-BE49-F238E27FC236}">
              <a16:creationId xmlns:a16="http://schemas.microsoft.com/office/drawing/2014/main" id="{00000000-0008-0000-0800-00009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3" name="Text Box 279">
          <a:extLst>
            <a:ext uri="{FF2B5EF4-FFF2-40B4-BE49-F238E27FC236}">
              <a16:creationId xmlns:a16="http://schemas.microsoft.com/office/drawing/2014/main" id="{00000000-0008-0000-0800-00009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4" name="Text Box 280">
          <a:extLst>
            <a:ext uri="{FF2B5EF4-FFF2-40B4-BE49-F238E27FC236}">
              <a16:creationId xmlns:a16="http://schemas.microsoft.com/office/drawing/2014/main" id="{00000000-0008-0000-0800-0000A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5" name="Text Box 281">
          <a:extLst>
            <a:ext uri="{FF2B5EF4-FFF2-40B4-BE49-F238E27FC236}">
              <a16:creationId xmlns:a16="http://schemas.microsoft.com/office/drawing/2014/main" id="{00000000-0008-0000-0800-0000A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6" name="Text Box 282">
          <a:extLst>
            <a:ext uri="{FF2B5EF4-FFF2-40B4-BE49-F238E27FC236}">
              <a16:creationId xmlns:a16="http://schemas.microsoft.com/office/drawing/2014/main" id="{00000000-0008-0000-0800-0000A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7" name="Text Box 283">
          <a:extLst>
            <a:ext uri="{FF2B5EF4-FFF2-40B4-BE49-F238E27FC236}">
              <a16:creationId xmlns:a16="http://schemas.microsoft.com/office/drawing/2014/main" id="{00000000-0008-0000-0800-0000A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8" name="Text Box 284">
          <a:extLst>
            <a:ext uri="{FF2B5EF4-FFF2-40B4-BE49-F238E27FC236}">
              <a16:creationId xmlns:a16="http://schemas.microsoft.com/office/drawing/2014/main" id="{00000000-0008-0000-0800-0000A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9" name="Text Box 285">
          <a:extLst>
            <a:ext uri="{FF2B5EF4-FFF2-40B4-BE49-F238E27FC236}">
              <a16:creationId xmlns:a16="http://schemas.microsoft.com/office/drawing/2014/main" id="{00000000-0008-0000-0800-0000A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0" name="Text Box 286">
          <a:extLst>
            <a:ext uri="{FF2B5EF4-FFF2-40B4-BE49-F238E27FC236}">
              <a16:creationId xmlns:a16="http://schemas.microsoft.com/office/drawing/2014/main" id="{00000000-0008-0000-0800-0000A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1" name="Text Box 287">
          <a:extLst>
            <a:ext uri="{FF2B5EF4-FFF2-40B4-BE49-F238E27FC236}">
              <a16:creationId xmlns:a16="http://schemas.microsoft.com/office/drawing/2014/main" id="{00000000-0008-0000-0800-0000A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2" name="Text Box 288">
          <a:extLst>
            <a:ext uri="{FF2B5EF4-FFF2-40B4-BE49-F238E27FC236}">
              <a16:creationId xmlns:a16="http://schemas.microsoft.com/office/drawing/2014/main" id="{00000000-0008-0000-0800-0000A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3" name="Text Box 289">
          <a:extLst>
            <a:ext uri="{FF2B5EF4-FFF2-40B4-BE49-F238E27FC236}">
              <a16:creationId xmlns:a16="http://schemas.microsoft.com/office/drawing/2014/main" id="{00000000-0008-0000-0800-0000A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4" name="Text Box 290">
          <a:extLst>
            <a:ext uri="{FF2B5EF4-FFF2-40B4-BE49-F238E27FC236}">
              <a16:creationId xmlns:a16="http://schemas.microsoft.com/office/drawing/2014/main" id="{00000000-0008-0000-0800-0000A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5" name="Text Box 291">
          <a:extLst>
            <a:ext uri="{FF2B5EF4-FFF2-40B4-BE49-F238E27FC236}">
              <a16:creationId xmlns:a16="http://schemas.microsoft.com/office/drawing/2014/main" id="{00000000-0008-0000-0800-0000A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6" name="Text Box 292">
          <a:extLst>
            <a:ext uri="{FF2B5EF4-FFF2-40B4-BE49-F238E27FC236}">
              <a16:creationId xmlns:a16="http://schemas.microsoft.com/office/drawing/2014/main" id="{00000000-0008-0000-0800-0000A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7" name="Text Box 293">
          <a:extLst>
            <a:ext uri="{FF2B5EF4-FFF2-40B4-BE49-F238E27FC236}">
              <a16:creationId xmlns:a16="http://schemas.microsoft.com/office/drawing/2014/main" id="{00000000-0008-0000-0800-0000A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8" name="Text Box 294">
          <a:extLst>
            <a:ext uri="{FF2B5EF4-FFF2-40B4-BE49-F238E27FC236}">
              <a16:creationId xmlns:a16="http://schemas.microsoft.com/office/drawing/2014/main" id="{00000000-0008-0000-0800-0000A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9" name="Text Box 295">
          <a:extLst>
            <a:ext uri="{FF2B5EF4-FFF2-40B4-BE49-F238E27FC236}">
              <a16:creationId xmlns:a16="http://schemas.microsoft.com/office/drawing/2014/main" id="{00000000-0008-0000-0800-0000A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40" name="Text Box 296">
          <a:extLst>
            <a:ext uri="{FF2B5EF4-FFF2-40B4-BE49-F238E27FC236}">
              <a16:creationId xmlns:a16="http://schemas.microsoft.com/office/drawing/2014/main" id="{00000000-0008-0000-0800-0000B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1" name="Text Box 297">
          <a:extLst>
            <a:ext uri="{FF2B5EF4-FFF2-40B4-BE49-F238E27FC236}">
              <a16:creationId xmlns:a16="http://schemas.microsoft.com/office/drawing/2014/main" id="{00000000-0008-0000-0800-0000B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2" name="Text Box 298">
          <a:extLst>
            <a:ext uri="{FF2B5EF4-FFF2-40B4-BE49-F238E27FC236}">
              <a16:creationId xmlns:a16="http://schemas.microsoft.com/office/drawing/2014/main" id="{00000000-0008-0000-0800-0000B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3" name="Text Box 299">
          <a:extLst>
            <a:ext uri="{FF2B5EF4-FFF2-40B4-BE49-F238E27FC236}">
              <a16:creationId xmlns:a16="http://schemas.microsoft.com/office/drawing/2014/main" id="{00000000-0008-0000-0800-0000B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4" name="Text Box 300">
          <a:extLst>
            <a:ext uri="{FF2B5EF4-FFF2-40B4-BE49-F238E27FC236}">
              <a16:creationId xmlns:a16="http://schemas.microsoft.com/office/drawing/2014/main" id="{00000000-0008-0000-0800-0000B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5" name="Text Box 301">
          <a:extLst>
            <a:ext uri="{FF2B5EF4-FFF2-40B4-BE49-F238E27FC236}">
              <a16:creationId xmlns:a16="http://schemas.microsoft.com/office/drawing/2014/main" id="{00000000-0008-0000-0800-0000B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6" name="Text Box 302">
          <a:extLst>
            <a:ext uri="{FF2B5EF4-FFF2-40B4-BE49-F238E27FC236}">
              <a16:creationId xmlns:a16="http://schemas.microsoft.com/office/drawing/2014/main" id="{00000000-0008-0000-0800-0000B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7" name="Text Box 303">
          <a:extLst>
            <a:ext uri="{FF2B5EF4-FFF2-40B4-BE49-F238E27FC236}">
              <a16:creationId xmlns:a16="http://schemas.microsoft.com/office/drawing/2014/main" id="{00000000-0008-0000-0800-0000B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8" name="Text Box 304">
          <a:extLst>
            <a:ext uri="{FF2B5EF4-FFF2-40B4-BE49-F238E27FC236}">
              <a16:creationId xmlns:a16="http://schemas.microsoft.com/office/drawing/2014/main" id="{00000000-0008-0000-0800-0000B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9" name="Text Box 305">
          <a:extLst>
            <a:ext uri="{FF2B5EF4-FFF2-40B4-BE49-F238E27FC236}">
              <a16:creationId xmlns:a16="http://schemas.microsoft.com/office/drawing/2014/main" id="{00000000-0008-0000-0800-0000B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0" name="Text Box 306">
          <a:extLst>
            <a:ext uri="{FF2B5EF4-FFF2-40B4-BE49-F238E27FC236}">
              <a16:creationId xmlns:a16="http://schemas.microsoft.com/office/drawing/2014/main" id="{00000000-0008-0000-0800-0000B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1" name="Text Box 307">
          <a:extLst>
            <a:ext uri="{FF2B5EF4-FFF2-40B4-BE49-F238E27FC236}">
              <a16:creationId xmlns:a16="http://schemas.microsoft.com/office/drawing/2014/main" id="{00000000-0008-0000-0800-0000B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2" name="Text Box 308">
          <a:extLst>
            <a:ext uri="{FF2B5EF4-FFF2-40B4-BE49-F238E27FC236}">
              <a16:creationId xmlns:a16="http://schemas.microsoft.com/office/drawing/2014/main" id="{00000000-0008-0000-0800-0000B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3" name="Text Box 309">
          <a:extLst>
            <a:ext uri="{FF2B5EF4-FFF2-40B4-BE49-F238E27FC236}">
              <a16:creationId xmlns:a16="http://schemas.microsoft.com/office/drawing/2014/main" id="{00000000-0008-0000-0800-0000B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4" name="Text Box 310">
          <a:extLst>
            <a:ext uri="{FF2B5EF4-FFF2-40B4-BE49-F238E27FC236}">
              <a16:creationId xmlns:a16="http://schemas.microsoft.com/office/drawing/2014/main" id="{00000000-0008-0000-0800-0000B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5" name="Text Box 311">
          <a:extLst>
            <a:ext uri="{FF2B5EF4-FFF2-40B4-BE49-F238E27FC236}">
              <a16:creationId xmlns:a16="http://schemas.microsoft.com/office/drawing/2014/main" id="{00000000-0008-0000-0800-0000B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6" name="Text Box 312">
          <a:extLst>
            <a:ext uri="{FF2B5EF4-FFF2-40B4-BE49-F238E27FC236}">
              <a16:creationId xmlns:a16="http://schemas.microsoft.com/office/drawing/2014/main" id="{00000000-0008-0000-0800-0000C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7" name="Text Box 313">
          <a:extLst>
            <a:ext uri="{FF2B5EF4-FFF2-40B4-BE49-F238E27FC236}">
              <a16:creationId xmlns:a16="http://schemas.microsoft.com/office/drawing/2014/main" id="{00000000-0008-0000-0800-0000C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8" name="Text Box 314">
          <a:extLst>
            <a:ext uri="{FF2B5EF4-FFF2-40B4-BE49-F238E27FC236}">
              <a16:creationId xmlns:a16="http://schemas.microsoft.com/office/drawing/2014/main" id="{00000000-0008-0000-0800-0000C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9" name="Text Box 315">
          <a:extLst>
            <a:ext uri="{FF2B5EF4-FFF2-40B4-BE49-F238E27FC236}">
              <a16:creationId xmlns:a16="http://schemas.microsoft.com/office/drawing/2014/main" id="{00000000-0008-0000-0800-0000C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0" name="Text Box 316">
          <a:extLst>
            <a:ext uri="{FF2B5EF4-FFF2-40B4-BE49-F238E27FC236}">
              <a16:creationId xmlns:a16="http://schemas.microsoft.com/office/drawing/2014/main" id="{00000000-0008-0000-0800-0000C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1" name="Text Box 317">
          <a:extLst>
            <a:ext uri="{FF2B5EF4-FFF2-40B4-BE49-F238E27FC236}">
              <a16:creationId xmlns:a16="http://schemas.microsoft.com/office/drawing/2014/main" id="{00000000-0008-0000-0800-0000C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2" name="Text Box 318">
          <a:extLst>
            <a:ext uri="{FF2B5EF4-FFF2-40B4-BE49-F238E27FC236}">
              <a16:creationId xmlns:a16="http://schemas.microsoft.com/office/drawing/2014/main" id="{00000000-0008-0000-0800-0000C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3" name="Text Box 319">
          <a:extLst>
            <a:ext uri="{FF2B5EF4-FFF2-40B4-BE49-F238E27FC236}">
              <a16:creationId xmlns:a16="http://schemas.microsoft.com/office/drawing/2014/main" id="{00000000-0008-0000-0800-0000C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4" name="Text Box 320">
          <a:extLst>
            <a:ext uri="{FF2B5EF4-FFF2-40B4-BE49-F238E27FC236}">
              <a16:creationId xmlns:a16="http://schemas.microsoft.com/office/drawing/2014/main" id="{00000000-0008-0000-0800-0000C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5" name="Text Box 28">
          <a:extLst>
            <a:ext uri="{FF2B5EF4-FFF2-40B4-BE49-F238E27FC236}">
              <a16:creationId xmlns:a16="http://schemas.microsoft.com/office/drawing/2014/main" id="{00000000-0008-0000-0800-0000C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6" name="Text Box 29">
          <a:extLst>
            <a:ext uri="{FF2B5EF4-FFF2-40B4-BE49-F238E27FC236}">
              <a16:creationId xmlns:a16="http://schemas.microsoft.com/office/drawing/2014/main" id="{00000000-0008-0000-0800-0000C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7" name="Text Box 30">
          <a:extLst>
            <a:ext uri="{FF2B5EF4-FFF2-40B4-BE49-F238E27FC236}">
              <a16:creationId xmlns:a16="http://schemas.microsoft.com/office/drawing/2014/main" id="{00000000-0008-0000-0800-0000C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8" name="Text Box 31">
          <a:extLst>
            <a:ext uri="{FF2B5EF4-FFF2-40B4-BE49-F238E27FC236}">
              <a16:creationId xmlns:a16="http://schemas.microsoft.com/office/drawing/2014/main" id="{00000000-0008-0000-0800-0000C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9" name="Text Box 32">
          <a:extLst>
            <a:ext uri="{FF2B5EF4-FFF2-40B4-BE49-F238E27FC236}">
              <a16:creationId xmlns:a16="http://schemas.microsoft.com/office/drawing/2014/main" id="{00000000-0008-0000-0800-0000C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0" name="Text Box 33">
          <a:extLst>
            <a:ext uri="{FF2B5EF4-FFF2-40B4-BE49-F238E27FC236}">
              <a16:creationId xmlns:a16="http://schemas.microsoft.com/office/drawing/2014/main" id="{00000000-0008-0000-0800-0000C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1" name="Text Box 34">
          <a:extLst>
            <a:ext uri="{FF2B5EF4-FFF2-40B4-BE49-F238E27FC236}">
              <a16:creationId xmlns:a16="http://schemas.microsoft.com/office/drawing/2014/main" id="{00000000-0008-0000-0800-0000C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2" name="Text Box 35">
          <a:extLst>
            <a:ext uri="{FF2B5EF4-FFF2-40B4-BE49-F238E27FC236}">
              <a16:creationId xmlns:a16="http://schemas.microsoft.com/office/drawing/2014/main" id="{00000000-0008-0000-0800-0000D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3" name="Text Box 36">
          <a:extLst>
            <a:ext uri="{FF2B5EF4-FFF2-40B4-BE49-F238E27FC236}">
              <a16:creationId xmlns:a16="http://schemas.microsoft.com/office/drawing/2014/main" id="{00000000-0008-0000-0800-0000D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4" name="Text Box 37">
          <a:extLst>
            <a:ext uri="{FF2B5EF4-FFF2-40B4-BE49-F238E27FC236}">
              <a16:creationId xmlns:a16="http://schemas.microsoft.com/office/drawing/2014/main" id="{00000000-0008-0000-0800-0000D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5" name="Text Box 38">
          <a:extLst>
            <a:ext uri="{FF2B5EF4-FFF2-40B4-BE49-F238E27FC236}">
              <a16:creationId xmlns:a16="http://schemas.microsoft.com/office/drawing/2014/main" id="{00000000-0008-0000-0800-0000D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6" name="Text Box 39">
          <a:extLst>
            <a:ext uri="{FF2B5EF4-FFF2-40B4-BE49-F238E27FC236}">
              <a16:creationId xmlns:a16="http://schemas.microsoft.com/office/drawing/2014/main" id="{00000000-0008-0000-0800-0000D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7" name="Text Box 40">
          <a:extLst>
            <a:ext uri="{FF2B5EF4-FFF2-40B4-BE49-F238E27FC236}">
              <a16:creationId xmlns:a16="http://schemas.microsoft.com/office/drawing/2014/main" id="{00000000-0008-0000-0800-0000D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8" name="Text Box 41">
          <a:extLst>
            <a:ext uri="{FF2B5EF4-FFF2-40B4-BE49-F238E27FC236}">
              <a16:creationId xmlns:a16="http://schemas.microsoft.com/office/drawing/2014/main" id="{00000000-0008-0000-0800-0000D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9" name="Text Box 42">
          <a:extLst>
            <a:ext uri="{FF2B5EF4-FFF2-40B4-BE49-F238E27FC236}">
              <a16:creationId xmlns:a16="http://schemas.microsoft.com/office/drawing/2014/main" id="{00000000-0008-0000-0800-0000D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0" name="Text Box 43">
          <a:extLst>
            <a:ext uri="{FF2B5EF4-FFF2-40B4-BE49-F238E27FC236}">
              <a16:creationId xmlns:a16="http://schemas.microsoft.com/office/drawing/2014/main" id="{00000000-0008-0000-0800-0000D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1" name="Text Box 44">
          <a:extLst>
            <a:ext uri="{FF2B5EF4-FFF2-40B4-BE49-F238E27FC236}">
              <a16:creationId xmlns:a16="http://schemas.microsoft.com/office/drawing/2014/main" id="{00000000-0008-0000-0800-0000D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2" name="Text Box 45">
          <a:extLst>
            <a:ext uri="{FF2B5EF4-FFF2-40B4-BE49-F238E27FC236}">
              <a16:creationId xmlns:a16="http://schemas.microsoft.com/office/drawing/2014/main" id="{00000000-0008-0000-0800-0000D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3" name="Text Box 46">
          <a:extLst>
            <a:ext uri="{FF2B5EF4-FFF2-40B4-BE49-F238E27FC236}">
              <a16:creationId xmlns:a16="http://schemas.microsoft.com/office/drawing/2014/main" id="{00000000-0008-0000-0800-0000D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4" name="Text Box 47">
          <a:extLst>
            <a:ext uri="{FF2B5EF4-FFF2-40B4-BE49-F238E27FC236}">
              <a16:creationId xmlns:a16="http://schemas.microsoft.com/office/drawing/2014/main" id="{00000000-0008-0000-0800-0000D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5" name="Text Box 48">
          <a:extLst>
            <a:ext uri="{FF2B5EF4-FFF2-40B4-BE49-F238E27FC236}">
              <a16:creationId xmlns:a16="http://schemas.microsoft.com/office/drawing/2014/main" id="{00000000-0008-0000-0800-0000D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6" name="Text Box 49">
          <a:extLst>
            <a:ext uri="{FF2B5EF4-FFF2-40B4-BE49-F238E27FC236}">
              <a16:creationId xmlns:a16="http://schemas.microsoft.com/office/drawing/2014/main" id="{00000000-0008-0000-0800-0000D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7" name="Text Box 50">
          <a:extLst>
            <a:ext uri="{FF2B5EF4-FFF2-40B4-BE49-F238E27FC236}">
              <a16:creationId xmlns:a16="http://schemas.microsoft.com/office/drawing/2014/main" id="{00000000-0008-0000-0800-0000D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8" name="Text Box 51">
          <a:extLst>
            <a:ext uri="{FF2B5EF4-FFF2-40B4-BE49-F238E27FC236}">
              <a16:creationId xmlns:a16="http://schemas.microsoft.com/office/drawing/2014/main" id="{00000000-0008-0000-0800-0000E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9" name="Text Box 52">
          <a:extLst>
            <a:ext uri="{FF2B5EF4-FFF2-40B4-BE49-F238E27FC236}">
              <a16:creationId xmlns:a16="http://schemas.microsoft.com/office/drawing/2014/main" id="{00000000-0008-0000-0800-0000E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0" name="Text Box 53">
          <a:extLst>
            <a:ext uri="{FF2B5EF4-FFF2-40B4-BE49-F238E27FC236}">
              <a16:creationId xmlns:a16="http://schemas.microsoft.com/office/drawing/2014/main" id="{00000000-0008-0000-0800-0000E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1" name="Text Box 54">
          <a:extLst>
            <a:ext uri="{FF2B5EF4-FFF2-40B4-BE49-F238E27FC236}">
              <a16:creationId xmlns:a16="http://schemas.microsoft.com/office/drawing/2014/main" id="{00000000-0008-0000-0800-0000E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2" name="Text Box 55">
          <a:extLst>
            <a:ext uri="{FF2B5EF4-FFF2-40B4-BE49-F238E27FC236}">
              <a16:creationId xmlns:a16="http://schemas.microsoft.com/office/drawing/2014/main" id="{00000000-0008-0000-0800-0000E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3" name="Text Box 56">
          <a:extLst>
            <a:ext uri="{FF2B5EF4-FFF2-40B4-BE49-F238E27FC236}">
              <a16:creationId xmlns:a16="http://schemas.microsoft.com/office/drawing/2014/main" id="{00000000-0008-0000-0800-0000E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4" name="Text Box 57">
          <a:extLst>
            <a:ext uri="{FF2B5EF4-FFF2-40B4-BE49-F238E27FC236}">
              <a16:creationId xmlns:a16="http://schemas.microsoft.com/office/drawing/2014/main" id="{00000000-0008-0000-0800-0000E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5" name="Text Box 58">
          <a:extLst>
            <a:ext uri="{FF2B5EF4-FFF2-40B4-BE49-F238E27FC236}">
              <a16:creationId xmlns:a16="http://schemas.microsoft.com/office/drawing/2014/main" id="{00000000-0008-0000-0800-0000E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6" name="Text Box 59">
          <a:extLst>
            <a:ext uri="{FF2B5EF4-FFF2-40B4-BE49-F238E27FC236}">
              <a16:creationId xmlns:a16="http://schemas.microsoft.com/office/drawing/2014/main" id="{00000000-0008-0000-0800-0000E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7" name="Text Box 60">
          <a:extLst>
            <a:ext uri="{FF2B5EF4-FFF2-40B4-BE49-F238E27FC236}">
              <a16:creationId xmlns:a16="http://schemas.microsoft.com/office/drawing/2014/main" id="{00000000-0008-0000-0800-0000E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8" name="Text Box 61">
          <a:extLst>
            <a:ext uri="{FF2B5EF4-FFF2-40B4-BE49-F238E27FC236}">
              <a16:creationId xmlns:a16="http://schemas.microsoft.com/office/drawing/2014/main" id="{00000000-0008-0000-0800-0000E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9" name="Text Box 62">
          <a:extLst>
            <a:ext uri="{FF2B5EF4-FFF2-40B4-BE49-F238E27FC236}">
              <a16:creationId xmlns:a16="http://schemas.microsoft.com/office/drawing/2014/main" id="{00000000-0008-0000-0800-0000E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0" name="Text Box 63">
          <a:extLst>
            <a:ext uri="{FF2B5EF4-FFF2-40B4-BE49-F238E27FC236}">
              <a16:creationId xmlns:a16="http://schemas.microsoft.com/office/drawing/2014/main" id="{00000000-0008-0000-0800-0000E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1" name="Text Box 64">
          <a:extLst>
            <a:ext uri="{FF2B5EF4-FFF2-40B4-BE49-F238E27FC236}">
              <a16:creationId xmlns:a16="http://schemas.microsoft.com/office/drawing/2014/main" id="{00000000-0008-0000-0800-0000E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2" name="Text Box 65">
          <a:extLst>
            <a:ext uri="{FF2B5EF4-FFF2-40B4-BE49-F238E27FC236}">
              <a16:creationId xmlns:a16="http://schemas.microsoft.com/office/drawing/2014/main" id="{00000000-0008-0000-0800-0000E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3" name="Text Box 66">
          <a:extLst>
            <a:ext uri="{FF2B5EF4-FFF2-40B4-BE49-F238E27FC236}">
              <a16:creationId xmlns:a16="http://schemas.microsoft.com/office/drawing/2014/main" id="{00000000-0008-0000-0800-0000E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4" name="Text Box 67">
          <a:extLst>
            <a:ext uri="{FF2B5EF4-FFF2-40B4-BE49-F238E27FC236}">
              <a16:creationId xmlns:a16="http://schemas.microsoft.com/office/drawing/2014/main" id="{00000000-0008-0000-0800-0000F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5" name="Text Box 68">
          <a:extLst>
            <a:ext uri="{FF2B5EF4-FFF2-40B4-BE49-F238E27FC236}">
              <a16:creationId xmlns:a16="http://schemas.microsoft.com/office/drawing/2014/main" id="{00000000-0008-0000-0800-0000F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6" name="Text Box 69">
          <a:extLst>
            <a:ext uri="{FF2B5EF4-FFF2-40B4-BE49-F238E27FC236}">
              <a16:creationId xmlns:a16="http://schemas.microsoft.com/office/drawing/2014/main" id="{00000000-0008-0000-0800-0000F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7" name="Text Box 70">
          <a:extLst>
            <a:ext uri="{FF2B5EF4-FFF2-40B4-BE49-F238E27FC236}">
              <a16:creationId xmlns:a16="http://schemas.microsoft.com/office/drawing/2014/main" id="{00000000-0008-0000-0800-0000F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8" name="Text Box 71">
          <a:extLst>
            <a:ext uri="{FF2B5EF4-FFF2-40B4-BE49-F238E27FC236}">
              <a16:creationId xmlns:a16="http://schemas.microsoft.com/office/drawing/2014/main" id="{00000000-0008-0000-0800-0000F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9" name="Text Box 72">
          <a:extLst>
            <a:ext uri="{FF2B5EF4-FFF2-40B4-BE49-F238E27FC236}">
              <a16:creationId xmlns:a16="http://schemas.microsoft.com/office/drawing/2014/main" id="{00000000-0008-0000-0800-0000F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0" name="Text Box 73">
          <a:extLst>
            <a:ext uri="{FF2B5EF4-FFF2-40B4-BE49-F238E27FC236}">
              <a16:creationId xmlns:a16="http://schemas.microsoft.com/office/drawing/2014/main" id="{00000000-0008-0000-0800-0000F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1" name="Text Box 74">
          <a:extLst>
            <a:ext uri="{FF2B5EF4-FFF2-40B4-BE49-F238E27FC236}">
              <a16:creationId xmlns:a16="http://schemas.microsoft.com/office/drawing/2014/main" id="{00000000-0008-0000-0800-0000F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2" name="Text Box 75">
          <a:extLst>
            <a:ext uri="{FF2B5EF4-FFF2-40B4-BE49-F238E27FC236}">
              <a16:creationId xmlns:a16="http://schemas.microsoft.com/office/drawing/2014/main" id="{00000000-0008-0000-0800-0000F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3" name="Text Box 76">
          <a:extLst>
            <a:ext uri="{FF2B5EF4-FFF2-40B4-BE49-F238E27FC236}">
              <a16:creationId xmlns:a16="http://schemas.microsoft.com/office/drawing/2014/main" id="{00000000-0008-0000-0800-0000F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4" name="Text Box 77">
          <a:extLst>
            <a:ext uri="{FF2B5EF4-FFF2-40B4-BE49-F238E27FC236}">
              <a16:creationId xmlns:a16="http://schemas.microsoft.com/office/drawing/2014/main" id="{00000000-0008-0000-0800-0000F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5" name="Text Box 78">
          <a:extLst>
            <a:ext uri="{FF2B5EF4-FFF2-40B4-BE49-F238E27FC236}">
              <a16:creationId xmlns:a16="http://schemas.microsoft.com/office/drawing/2014/main" id="{00000000-0008-0000-0800-0000F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6" name="Text Box 79">
          <a:extLst>
            <a:ext uri="{FF2B5EF4-FFF2-40B4-BE49-F238E27FC236}">
              <a16:creationId xmlns:a16="http://schemas.microsoft.com/office/drawing/2014/main" id="{00000000-0008-0000-0800-0000F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7" name="Text Box 80">
          <a:extLst>
            <a:ext uri="{FF2B5EF4-FFF2-40B4-BE49-F238E27FC236}">
              <a16:creationId xmlns:a16="http://schemas.microsoft.com/office/drawing/2014/main" id="{00000000-0008-0000-0800-0000F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8" name="Text Box 81">
          <a:extLst>
            <a:ext uri="{FF2B5EF4-FFF2-40B4-BE49-F238E27FC236}">
              <a16:creationId xmlns:a16="http://schemas.microsoft.com/office/drawing/2014/main" id="{00000000-0008-0000-0800-0000F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9" name="Text Box 82">
          <a:extLst>
            <a:ext uri="{FF2B5EF4-FFF2-40B4-BE49-F238E27FC236}">
              <a16:creationId xmlns:a16="http://schemas.microsoft.com/office/drawing/2014/main" id="{00000000-0008-0000-0800-0000F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0" name="Text Box 83">
          <a:extLst>
            <a:ext uri="{FF2B5EF4-FFF2-40B4-BE49-F238E27FC236}">
              <a16:creationId xmlns:a16="http://schemas.microsoft.com/office/drawing/2014/main" id="{00000000-0008-0000-0800-00000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1" name="Text Box 84">
          <a:extLst>
            <a:ext uri="{FF2B5EF4-FFF2-40B4-BE49-F238E27FC236}">
              <a16:creationId xmlns:a16="http://schemas.microsoft.com/office/drawing/2014/main" id="{00000000-0008-0000-0800-00000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2" name="Text Box 85">
          <a:extLst>
            <a:ext uri="{FF2B5EF4-FFF2-40B4-BE49-F238E27FC236}">
              <a16:creationId xmlns:a16="http://schemas.microsoft.com/office/drawing/2014/main" id="{00000000-0008-0000-0800-00000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3" name="Text Box 86">
          <a:extLst>
            <a:ext uri="{FF2B5EF4-FFF2-40B4-BE49-F238E27FC236}">
              <a16:creationId xmlns:a16="http://schemas.microsoft.com/office/drawing/2014/main" id="{00000000-0008-0000-0800-00000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4" name="Text Box 87">
          <a:extLst>
            <a:ext uri="{FF2B5EF4-FFF2-40B4-BE49-F238E27FC236}">
              <a16:creationId xmlns:a16="http://schemas.microsoft.com/office/drawing/2014/main" id="{00000000-0008-0000-0800-00000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5" name="Text Box 88">
          <a:extLst>
            <a:ext uri="{FF2B5EF4-FFF2-40B4-BE49-F238E27FC236}">
              <a16:creationId xmlns:a16="http://schemas.microsoft.com/office/drawing/2014/main" id="{00000000-0008-0000-0800-00000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6" name="Text Box 89">
          <a:extLst>
            <a:ext uri="{FF2B5EF4-FFF2-40B4-BE49-F238E27FC236}">
              <a16:creationId xmlns:a16="http://schemas.microsoft.com/office/drawing/2014/main" id="{00000000-0008-0000-0800-00000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7" name="Text Box 90">
          <a:extLst>
            <a:ext uri="{FF2B5EF4-FFF2-40B4-BE49-F238E27FC236}">
              <a16:creationId xmlns:a16="http://schemas.microsoft.com/office/drawing/2014/main" id="{00000000-0008-0000-0800-00000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8" name="Text Box 91">
          <a:extLst>
            <a:ext uri="{FF2B5EF4-FFF2-40B4-BE49-F238E27FC236}">
              <a16:creationId xmlns:a16="http://schemas.microsoft.com/office/drawing/2014/main" id="{00000000-0008-0000-0800-00000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9" name="Text Box 92">
          <a:extLst>
            <a:ext uri="{FF2B5EF4-FFF2-40B4-BE49-F238E27FC236}">
              <a16:creationId xmlns:a16="http://schemas.microsoft.com/office/drawing/2014/main" id="{00000000-0008-0000-0800-00000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0" name="Text Box 93">
          <a:extLst>
            <a:ext uri="{FF2B5EF4-FFF2-40B4-BE49-F238E27FC236}">
              <a16:creationId xmlns:a16="http://schemas.microsoft.com/office/drawing/2014/main" id="{00000000-0008-0000-0800-00000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1" name="Text Box 94">
          <a:extLst>
            <a:ext uri="{FF2B5EF4-FFF2-40B4-BE49-F238E27FC236}">
              <a16:creationId xmlns:a16="http://schemas.microsoft.com/office/drawing/2014/main" id="{00000000-0008-0000-0800-00000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2" name="Text Box 95">
          <a:extLst>
            <a:ext uri="{FF2B5EF4-FFF2-40B4-BE49-F238E27FC236}">
              <a16:creationId xmlns:a16="http://schemas.microsoft.com/office/drawing/2014/main" id="{00000000-0008-0000-0800-00000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3" name="Text Box 96">
          <a:extLst>
            <a:ext uri="{FF2B5EF4-FFF2-40B4-BE49-F238E27FC236}">
              <a16:creationId xmlns:a16="http://schemas.microsoft.com/office/drawing/2014/main" id="{00000000-0008-0000-0800-00000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4" name="Text Box 97">
          <a:extLst>
            <a:ext uri="{FF2B5EF4-FFF2-40B4-BE49-F238E27FC236}">
              <a16:creationId xmlns:a16="http://schemas.microsoft.com/office/drawing/2014/main" id="{00000000-0008-0000-0800-00000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5" name="Text Box 100">
          <a:extLst>
            <a:ext uri="{FF2B5EF4-FFF2-40B4-BE49-F238E27FC236}">
              <a16:creationId xmlns:a16="http://schemas.microsoft.com/office/drawing/2014/main" id="{00000000-0008-0000-0800-00000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6" name="Text Box 101">
          <a:extLst>
            <a:ext uri="{FF2B5EF4-FFF2-40B4-BE49-F238E27FC236}">
              <a16:creationId xmlns:a16="http://schemas.microsoft.com/office/drawing/2014/main" id="{00000000-0008-0000-0800-00001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7" name="Text Box 102">
          <a:extLst>
            <a:ext uri="{FF2B5EF4-FFF2-40B4-BE49-F238E27FC236}">
              <a16:creationId xmlns:a16="http://schemas.microsoft.com/office/drawing/2014/main" id="{00000000-0008-0000-0800-00001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8" name="Text Box 103">
          <a:extLst>
            <a:ext uri="{FF2B5EF4-FFF2-40B4-BE49-F238E27FC236}">
              <a16:creationId xmlns:a16="http://schemas.microsoft.com/office/drawing/2014/main" id="{00000000-0008-0000-0800-00001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9" name="Text Box 104">
          <a:extLst>
            <a:ext uri="{FF2B5EF4-FFF2-40B4-BE49-F238E27FC236}">
              <a16:creationId xmlns:a16="http://schemas.microsoft.com/office/drawing/2014/main" id="{00000000-0008-0000-0800-00001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0" name="Text Box 105">
          <a:extLst>
            <a:ext uri="{FF2B5EF4-FFF2-40B4-BE49-F238E27FC236}">
              <a16:creationId xmlns:a16="http://schemas.microsoft.com/office/drawing/2014/main" id="{00000000-0008-0000-0800-00001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1" name="Text Box 106">
          <a:extLst>
            <a:ext uri="{FF2B5EF4-FFF2-40B4-BE49-F238E27FC236}">
              <a16:creationId xmlns:a16="http://schemas.microsoft.com/office/drawing/2014/main" id="{00000000-0008-0000-0800-00001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2" name="Text Box 107">
          <a:extLst>
            <a:ext uri="{FF2B5EF4-FFF2-40B4-BE49-F238E27FC236}">
              <a16:creationId xmlns:a16="http://schemas.microsoft.com/office/drawing/2014/main" id="{00000000-0008-0000-0800-00001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3" name="Text Box 108">
          <a:extLst>
            <a:ext uri="{FF2B5EF4-FFF2-40B4-BE49-F238E27FC236}">
              <a16:creationId xmlns:a16="http://schemas.microsoft.com/office/drawing/2014/main" id="{00000000-0008-0000-0800-00001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4" name="Text Box 109">
          <a:extLst>
            <a:ext uri="{FF2B5EF4-FFF2-40B4-BE49-F238E27FC236}">
              <a16:creationId xmlns:a16="http://schemas.microsoft.com/office/drawing/2014/main" id="{00000000-0008-0000-0800-00001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5" name="Text Box 110">
          <a:extLst>
            <a:ext uri="{FF2B5EF4-FFF2-40B4-BE49-F238E27FC236}">
              <a16:creationId xmlns:a16="http://schemas.microsoft.com/office/drawing/2014/main" id="{00000000-0008-0000-0800-00001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6" name="Text Box 111">
          <a:extLst>
            <a:ext uri="{FF2B5EF4-FFF2-40B4-BE49-F238E27FC236}">
              <a16:creationId xmlns:a16="http://schemas.microsoft.com/office/drawing/2014/main" id="{00000000-0008-0000-0800-00001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7" name="Text Box 119">
          <a:extLst>
            <a:ext uri="{FF2B5EF4-FFF2-40B4-BE49-F238E27FC236}">
              <a16:creationId xmlns:a16="http://schemas.microsoft.com/office/drawing/2014/main" id="{00000000-0008-0000-0800-00001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8" name="Text Box 120">
          <a:extLst>
            <a:ext uri="{FF2B5EF4-FFF2-40B4-BE49-F238E27FC236}">
              <a16:creationId xmlns:a16="http://schemas.microsoft.com/office/drawing/2014/main" id="{00000000-0008-0000-0800-00001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9" name="Text Box 121">
          <a:extLst>
            <a:ext uri="{FF2B5EF4-FFF2-40B4-BE49-F238E27FC236}">
              <a16:creationId xmlns:a16="http://schemas.microsoft.com/office/drawing/2014/main" id="{00000000-0008-0000-0800-00001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0" name="Text Box 122">
          <a:extLst>
            <a:ext uri="{FF2B5EF4-FFF2-40B4-BE49-F238E27FC236}">
              <a16:creationId xmlns:a16="http://schemas.microsoft.com/office/drawing/2014/main" id="{00000000-0008-0000-0800-00001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1" name="Text Box 123">
          <a:extLst>
            <a:ext uri="{FF2B5EF4-FFF2-40B4-BE49-F238E27FC236}">
              <a16:creationId xmlns:a16="http://schemas.microsoft.com/office/drawing/2014/main" id="{00000000-0008-0000-0800-00001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2" name="Text Box 124">
          <a:extLst>
            <a:ext uri="{FF2B5EF4-FFF2-40B4-BE49-F238E27FC236}">
              <a16:creationId xmlns:a16="http://schemas.microsoft.com/office/drawing/2014/main" id="{00000000-0008-0000-0800-00002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3" name="Text Box 125">
          <a:extLst>
            <a:ext uri="{FF2B5EF4-FFF2-40B4-BE49-F238E27FC236}">
              <a16:creationId xmlns:a16="http://schemas.microsoft.com/office/drawing/2014/main" id="{00000000-0008-0000-0800-00002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4" name="Text Box 126">
          <a:extLst>
            <a:ext uri="{FF2B5EF4-FFF2-40B4-BE49-F238E27FC236}">
              <a16:creationId xmlns:a16="http://schemas.microsoft.com/office/drawing/2014/main" id="{00000000-0008-0000-0800-00002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5" name="Text Box 127">
          <a:extLst>
            <a:ext uri="{FF2B5EF4-FFF2-40B4-BE49-F238E27FC236}">
              <a16:creationId xmlns:a16="http://schemas.microsoft.com/office/drawing/2014/main" id="{00000000-0008-0000-0800-00002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6" name="Text Box 128">
          <a:extLst>
            <a:ext uri="{FF2B5EF4-FFF2-40B4-BE49-F238E27FC236}">
              <a16:creationId xmlns:a16="http://schemas.microsoft.com/office/drawing/2014/main" id="{00000000-0008-0000-0800-00002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7" name="Text Box 129">
          <a:extLst>
            <a:ext uri="{FF2B5EF4-FFF2-40B4-BE49-F238E27FC236}">
              <a16:creationId xmlns:a16="http://schemas.microsoft.com/office/drawing/2014/main" id="{00000000-0008-0000-0800-00002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8" name="Text Box 130">
          <a:extLst>
            <a:ext uri="{FF2B5EF4-FFF2-40B4-BE49-F238E27FC236}">
              <a16:creationId xmlns:a16="http://schemas.microsoft.com/office/drawing/2014/main" id="{00000000-0008-0000-0800-00002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59" name="Text Box 133">
          <a:extLst>
            <a:ext uri="{FF2B5EF4-FFF2-40B4-BE49-F238E27FC236}">
              <a16:creationId xmlns:a16="http://schemas.microsoft.com/office/drawing/2014/main" id="{00000000-0008-0000-0800-00002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0" name="Text Box 134">
          <a:extLst>
            <a:ext uri="{FF2B5EF4-FFF2-40B4-BE49-F238E27FC236}">
              <a16:creationId xmlns:a16="http://schemas.microsoft.com/office/drawing/2014/main" id="{00000000-0008-0000-0800-00002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1" name="Text Box 135">
          <a:extLst>
            <a:ext uri="{FF2B5EF4-FFF2-40B4-BE49-F238E27FC236}">
              <a16:creationId xmlns:a16="http://schemas.microsoft.com/office/drawing/2014/main" id="{00000000-0008-0000-0800-00002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2" name="Text Box 136">
          <a:extLst>
            <a:ext uri="{FF2B5EF4-FFF2-40B4-BE49-F238E27FC236}">
              <a16:creationId xmlns:a16="http://schemas.microsoft.com/office/drawing/2014/main" id="{00000000-0008-0000-0800-00002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3" name="Text Box 137">
          <a:extLst>
            <a:ext uri="{FF2B5EF4-FFF2-40B4-BE49-F238E27FC236}">
              <a16:creationId xmlns:a16="http://schemas.microsoft.com/office/drawing/2014/main" id="{00000000-0008-0000-0800-00002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4" name="Text Box 138">
          <a:extLst>
            <a:ext uri="{FF2B5EF4-FFF2-40B4-BE49-F238E27FC236}">
              <a16:creationId xmlns:a16="http://schemas.microsoft.com/office/drawing/2014/main" id="{00000000-0008-0000-0800-00002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5" name="Text Box 139">
          <a:extLst>
            <a:ext uri="{FF2B5EF4-FFF2-40B4-BE49-F238E27FC236}">
              <a16:creationId xmlns:a16="http://schemas.microsoft.com/office/drawing/2014/main" id="{00000000-0008-0000-0800-00002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6" name="Text Box 140">
          <a:extLst>
            <a:ext uri="{FF2B5EF4-FFF2-40B4-BE49-F238E27FC236}">
              <a16:creationId xmlns:a16="http://schemas.microsoft.com/office/drawing/2014/main" id="{00000000-0008-0000-0800-00002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7" name="Text Box 141">
          <a:extLst>
            <a:ext uri="{FF2B5EF4-FFF2-40B4-BE49-F238E27FC236}">
              <a16:creationId xmlns:a16="http://schemas.microsoft.com/office/drawing/2014/main" id="{00000000-0008-0000-0800-00002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8" name="Text Box 142">
          <a:extLst>
            <a:ext uri="{FF2B5EF4-FFF2-40B4-BE49-F238E27FC236}">
              <a16:creationId xmlns:a16="http://schemas.microsoft.com/office/drawing/2014/main" id="{00000000-0008-0000-0800-00003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9" name="Text Box 143">
          <a:extLst>
            <a:ext uri="{FF2B5EF4-FFF2-40B4-BE49-F238E27FC236}">
              <a16:creationId xmlns:a16="http://schemas.microsoft.com/office/drawing/2014/main" id="{00000000-0008-0000-0800-00003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0" name="Text Box 144">
          <a:extLst>
            <a:ext uri="{FF2B5EF4-FFF2-40B4-BE49-F238E27FC236}">
              <a16:creationId xmlns:a16="http://schemas.microsoft.com/office/drawing/2014/main" id="{00000000-0008-0000-0800-00003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1" name="Text Box 145">
          <a:extLst>
            <a:ext uri="{FF2B5EF4-FFF2-40B4-BE49-F238E27FC236}">
              <a16:creationId xmlns:a16="http://schemas.microsoft.com/office/drawing/2014/main" id="{00000000-0008-0000-0800-00003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2" name="Text Box 146">
          <a:extLst>
            <a:ext uri="{FF2B5EF4-FFF2-40B4-BE49-F238E27FC236}">
              <a16:creationId xmlns:a16="http://schemas.microsoft.com/office/drawing/2014/main" id="{00000000-0008-0000-0800-00003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3" name="Text Box 147">
          <a:extLst>
            <a:ext uri="{FF2B5EF4-FFF2-40B4-BE49-F238E27FC236}">
              <a16:creationId xmlns:a16="http://schemas.microsoft.com/office/drawing/2014/main" id="{00000000-0008-0000-0800-00003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4" name="Text Box 148">
          <a:extLst>
            <a:ext uri="{FF2B5EF4-FFF2-40B4-BE49-F238E27FC236}">
              <a16:creationId xmlns:a16="http://schemas.microsoft.com/office/drawing/2014/main" id="{00000000-0008-0000-0800-00003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5" name="Text Box 149">
          <a:extLst>
            <a:ext uri="{FF2B5EF4-FFF2-40B4-BE49-F238E27FC236}">
              <a16:creationId xmlns:a16="http://schemas.microsoft.com/office/drawing/2014/main" id="{00000000-0008-0000-0800-00003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6" name="Text Box 150">
          <a:extLst>
            <a:ext uri="{FF2B5EF4-FFF2-40B4-BE49-F238E27FC236}">
              <a16:creationId xmlns:a16="http://schemas.microsoft.com/office/drawing/2014/main" id="{00000000-0008-0000-0800-00003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7" name="Text Box 151">
          <a:extLst>
            <a:ext uri="{FF2B5EF4-FFF2-40B4-BE49-F238E27FC236}">
              <a16:creationId xmlns:a16="http://schemas.microsoft.com/office/drawing/2014/main" id="{00000000-0008-0000-0800-00003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8" name="Text Box 152">
          <a:extLst>
            <a:ext uri="{FF2B5EF4-FFF2-40B4-BE49-F238E27FC236}">
              <a16:creationId xmlns:a16="http://schemas.microsoft.com/office/drawing/2014/main" id="{00000000-0008-0000-0800-00003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9" name="Text Box 153">
          <a:extLst>
            <a:ext uri="{FF2B5EF4-FFF2-40B4-BE49-F238E27FC236}">
              <a16:creationId xmlns:a16="http://schemas.microsoft.com/office/drawing/2014/main" id="{00000000-0008-0000-0800-00003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0" name="Text Box 154">
          <a:extLst>
            <a:ext uri="{FF2B5EF4-FFF2-40B4-BE49-F238E27FC236}">
              <a16:creationId xmlns:a16="http://schemas.microsoft.com/office/drawing/2014/main" id="{00000000-0008-0000-0800-00003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1" name="Text Box 155">
          <a:extLst>
            <a:ext uri="{FF2B5EF4-FFF2-40B4-BE49-F238E27FC236}">
              <a16:creationId xmlns:a16="http://schemas.microsoft.com/office/drawing/2014/main" id="{00000000-0008-0000-0800-00003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2" name="Text Box 156">
          <a:extLst>
            <a:ext uri="{FF2B5EF4-FFF2-40B4-BE49-F238E27FC236}">
              <a16:creationId xmlns:a16="http://schemas.microsoft.com/office/drawing/2014/main" id="{00000000-0008-0000-0800-00003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3" name="Text Box 157">
          <a:extLst>
            <a:ext uri="{FF2B5EF4-FFF2-40B4-BE49-F238E27FC236}">
              <a16:creationId xmlns:a16="http://schemas.microsoft.com/office/drawing/2014/main" id="{00000000-0008-0000-0800-00003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4" name="Text Box 158">
          <a:extLst>
            <a:ext uri="{FF2B5EF4-FFF2-40B4-BE49-F238E27FC236}">
              <a16:creationId xmlns:a16="http://schemas.microsoft.com/office/drawing/2014/main" id="{00000000-0008-0000-0800-00004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5" name="Text Box 159">
          <a:extLst>
            <a:ext uri="{FF2B5EF4-FFF2-40B4-BE49-F238E27FC236}">
              <a16:creationId xmlns:a16="http://schemas.microsoft.com/office/drawing/2014/main" id="{00000000-0008-0000-0800-00004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6" name="Text Box 160">
          <a:extLst>
            <a:ext uri="{FF2B5EF4-FFF2-40B4-BE49-F238E27FC236}">
              <a16:creationId xmlns:a16="http://schemas.microsoft.com/office/drawing/2014/main" id="{00000000-0008-0000-0800-00004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7" name="Text Box 161">
          <a:extLst>
            <a:ext uri="{FF2B5EF4-FFF2-40B4-BE49-F238E27FC236}">
              <a16:creationId xmlns:a16="http://schemas.microsoft.com/office/drawing/2014/main" id="{00000000-0008-0000-0800-00004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8" name="Text Box 162">
          <a:extLst>
            <a:ext uri="{FF2B5EF4-FFF2-40B4-BE49-F238E27FC236}">
              <a16:creationId xmlns:a16="http://schemas.microsoft.com/office/drawing/2014/main" id="{00000000-0008-0000-0800-00004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9" name="Text Box 163">
          <a:extLst>
            <a:ext uri="{FF2B5EF4-FFF2-40B4-BE49-F238E27FC236}">
              <a16:creationId xmlns:a16="http://schemas.microsoft.com/office/drawing/2014/main" id="{00000000-0008-0000-0800-00004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0" name="Text Box 164">
          <a:extLst>
            <a:ext uri="{FF2B5EF4-FFF2-40B4-BE49-F238E27FC236}">
              <a16:creationId xmlns:a16="http://schemas.microsoft.com/office/drawing/2014/main" id="{00000000-0008-0000-0800-00004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1" name="Text Box 165">
          <a:extLst>
            <a:ext uri="{FF2B5EF4-FFF2-40B4-BE49-F238E27FC236}">
              <a16:creationId xmlns:a16="http://schemas.microsoft.com/office/drawing/2014/main" id="{00000000-0008-0000-0800-00004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2" name="Text Box 166">
          <a:extLst>
            <a:ext uri="{FF2B5EF4-FFF2-40B4-BE49-F238E27FC236}">
              <a16:creationId xmlns:a16="http://schemas.microsoft.com/office/drawing/2014/main" id="{00000000-0008-0000-0800-00004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3" name="Text Box 167">
          <a:extLst>
            <a:ext uri="{FF2B5EF4-FFF2-40B4-BE49-F238E27FC236}">
              <a16:creationId xmlns:a16="http://schemas.microsoft.com/office/drawing/2014/main" id="{00000000-0008-0000-0800-00004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4" name="Text Box 168">
          <a:extLst>
            <a:ext uri="{FF2B5EF4-FFF2-40B4-BE49-F238E27FC236}">
              <a16:creationId xmlns:a16="http://schemas.microsoft.com/office/drawing/2014/main" id="{00000000-0008-0000-0800-00004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5" name="Text Box 169">
          <a:extLst>
            <a:ext uri="{FF2B5EF4-FFF2-40B4-BE49-F238E27FC236}">
              <a16:creationId xmlns:a16="http://schemas.microsoft.com/office/drawing/2014/main" id="{00000000-0008-0000-0800-00004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6" name="Text Box 170">
          <a:extLst>
            <a:ext uri="{FF2B5EF4-FFF2-40B4-BE49-F238E27FC236}">
              <a16:creationId xmlns:a16="http://schemas.microsoft.com/office/drawing/2014/main" id="{00000000-0008-0000-0800-00004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7" name="Text Box 171">
          <a:extLst>
            <a:ext uri="{FF2B5EF4-FFF2-40B4-BE49-F238E27FC236}">
              <a16:creationId xmlns:a16="http://schemas.microsoft.com/office/drawing/2014/main" id="{00000000-0008-0000-0800-00004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8" name="Text Box 172">
          <a:extLst>
            <a:ext uri="{FF2B5EF4-FFF2-40B4-BE49-F238E27FC236}">
              <a16:creationId xmlns:a16="http://schemas.microsoft.com/office/drawing/2014/main" id="{00000000-0008-0000-0800-00004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9" name="Text Box 173">
          <a:extLst>
            <a:ext uri="{FF2B5EF4-FFF2-40B4-BE49-F238E27FC236}">
              <a16:creationId xmlns:a16="http://schemas.microsoft.com/office/drawing/2014/main" id="{00000000-0008-0000-0800-00004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0" name="Text Box 174">
          <a:extLst>
            <a:ext uri="{FF2B5EF4-FFF2-40B4-BE49-F238E27FC236}">
              <a16:creationId xmlns:a16="http://schemas.microsoft.com/office/drawing/2014/main" id="{00000000-0008-0000-0800-00005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1" name="Text Box 175">
          <a:extLst>
            <a:ext uri="{FF2B5EF4-FFF2-40B4-BE49-F238E27FC236}">
              <a16:creationId xmlns:a16="http://schemas.microsoft.com/office/drawing/2014/main" id="{00000000-0008-0000-0800-00005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2" name="Text Box 176">
          <a:extLst>
            <a:ext uri="{FF2B5EF4-FFF2-40B4-BE49-F238E27FC236}">
              <a16:creationId xmlns:a16="http://schemas.microsoft.com/office/drawing/2014/main" id="{00000000-0008-0000-0800-00005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3" name="Text Box 177">
          <a:extLst>
            <a:ext uri="{FF2B5EF4-FFF2-40B4-BE49-F238E27FC236}">
              <a16:creationId xmlns:a16="http://schemas.microsoft.com/office/drawing/2014/main" id="{00000000-0008-0000-0800-00005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4" name="Text Box 178">
          <a:extLst>
            <a:ext uri="{FF2B5EF4-FFF2-40B4-BE49-F238E27FC236}">
              <a16:creationId xmlns:a16="http://schemas.microsoft.com/office/drawing/2014/main" id="{00000000-0008-0000-0800-00005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5" name="Text Box 179">
          <a:extLst>
            <a:ext uri="{FF2B5EF4-FFF2-40B4-BE49-F238E27FC236}">
              <a16:creationId xmlns:a16="http://schemas.microsoft.com/office/drawing/2014/main" id="{00000000-0008-0000-0800-00005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6" name="Text Box 180">
          <a:extLst>
            <a:ext uri="{FF2B5EF4-FFF2-40B4-BE49-F238E27FC236}">
              <a16:creationId xmlns:a16="http://schemas.microsoft.com/office/drawing/2014/main" id="{00000000-0008-0000-0800-00005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7" name="Text Box 181">
          <a:extLst>
            <a:ext uri="{FF2B5EF4-FFF2-40B4-BE49-F238E27FC236}">
              <a16:creationId xmlns:a16="http://schemas.microsoft.com/office/drawing/2014/main" id="{00000000-0008-0000-0800-00005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8" name="Text Box 182">
          <a:extLst>
            <a:ext uri="{FF2B5EF4-FFF2-40B4-BE49-F238E27FC236}">
              <a16:creationId xmlns:a16="http://schemas.microsoft.com/office/drawing/2014/main" id="{00000000-0008-0000-0800-00005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9" name="Text Box 183">
          <a:extLst>
            <a:ext uri="{FF2B5EF4-FFF2-40B4-BE49-F238E27FC236}">
              <a16:creationId xmlns:a16="http://schemas.microsoft.com/office/drawing/2014/main" id="{00000000-0008-0000-0800-00005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0" name="Text Box 184">
          <a:extLst>
            <a:ext uri="{FF2B5EF4-FFF2-40B4-BE49-F238E27FC236}">
              <a16:creationId xmlns:a16="http://schemas.microsoft.com/office/drawing/2014/main" id="{00000000-0008-0000-0800-00005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1" name="Text Box 185">
          <a:extLst>
            <a:ext uri="{FF2B5EF4-FFF2-40B4-BE49-F238E27FC236}">
              <a16:creationId xmlns:a16="http://schemas.microsoft.com/office/drawing/2014/main" id="{00000000-0008-0000-0800-00005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2" name="Text Box 186">
          <a:extLst>
            <a:ext uri="{FF2B5EF4-FFF2-40B4-BE49-F238E27FC236}">
              <a16:creationId xmlns:a16="http://schemas.microsoft.com/office/drawing/2014/main" id="{00000000-0008-0000-0800-00005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3" name="Text Box 187">
          <a:extLst>
            <a:ext uri="{FF2B5EF4-FFF2-40B4-BE49-F238E27FC236}">
              <a16:creationId xmlns:a16="http://schemas.microsoft.com/office/drawing/2014/main" id="{00000000-0008-0000-0800-00005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4" name="Text Box 188">
          <a:extLst>
            <a:ext uri="{FF2B5EF4-FFF2-40B4-BE49-F238E27FC236}">
              <a16:creationId xmlns:a16="http://schemas.microsoft.com/office/drawing/2014/main" id="{00000000-0008-0000-0800-00005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5" name="Text Box 189">
          <a:extLst>
            <a:ext uri="{FF2B5EF4-FFF2-40B4-BE49-F238E27FC236}">
              <a16:creationId xmlns:a16="http://schemas.microsoft.com/office/drawing/2014/main" id="{00000000-0008-0000-0800-00005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6" name="Text Box 190">
          <a:extLst>
            <a:ext uri="{FF2B5EF4-FFF2-40B4-BE49-F238E27FC236}">
              <a16:creationId xmlns:a16="http://schemas.microsoft.com/office/drawing/2014/main" id="{00000000-0008-0000-0800-00006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7" name="Text Box 191">
          <a:extLst>
            <a:ext uri="{FF2B5EF4-FFF2-40B4-BE49-F238E27FC236}">
              <a16:creationId xmlns:a16="http://schemas.microsoft.com/office/drawing/2014/main" id="{00000000-0008-0000-0800-00006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8" name="Text Box 192">
          <a:extLst>
            <a:ext uri="{FF2B5EF4-FFF2-40B4-BE49-F238E27FC236}">
              <a16:creationId xmlns:a16="http://schemas.microsoft.com/office/drawing/2014/main" id="{00000000-0008-0000-0800-00006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9" name="Text Box 193">
          <a:extLst>
            <a:ext uri="{FF2B5EF4-FFF2-40B4-BE49-F238E27FC236}">
              <a16:creationId xmlns:a16="http://schemas.microsoft.com/office/drawing/2014/main" id="{00000000-0008-0000-0800-00006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0" name="Text Box 194">
          <a:extLst>
            <a:ext uri="{FF2B5EF4-FFF2-40B4-BE49-F238E27FC236}">
              <a16:creationId xmlns:a16="http://schemas.microsoft.com/office/drawing/2014/main" id="{00000000-0008-0000-0800-00006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1" name="Text Box 195">
          <a:extLst>
            <a:ext uri="{FF2B5EF4-FFF2-40B4-BE49-F238E27FC236}">
              <a16:creationId xmlns:a16="http://schemas.microsoft.com/office/drawing/2014/main" id="{00000000-0008-0000-0800-00006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2" name="Text Box 196">
          <a:extLst>
            <a:ext uri="{FF2B5EF4-FFF2-40B4-BE49-F238E27FC236}">
              <a16:creationId xmlns:a16="http://schemas.microsoft.com/office/drawing/2014/main" id="{00000000-0008-0000-0800-00006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3" name="Text Box 197">
          <a:extLst>
            <a:ext uri="{FF2B5EF4-FFF2-40B4-BE49-F238E27FC236}">
              <a16:creationId xmlns:a16="http://schemas.microsoft.com/office/drawing/2014/main" id="{00000000-0008-0000-0800-00006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4" name="Text Box 198">
          <a:extLst>
            <a:ext uri="{FF2B5EF4-FFF2-40B4-BE49-F238E27FC236}">
              <a16:creationId xmlns:a16="http://schemas.microsoft.com/office/drawing/2014/main" id="{00000000-0008-0000-0800-00006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5" name="Text Box 199">
          <a:extLst>
            <a:ext uri="{FF2B5EF4-FFF2-40B4-BE49-F238E27FC236}">
              <a16:creationId xmlns:a16="http://schemas.microsoft.com/office/drawing/2014/main" id="{00000000-0008-0000-0800-00006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6" name="Text Box 200">
          <a:extLst>
            <a:ext uri="{FF2B5EF4-FFF2-40B4-BE49-F238E27FC236}">
              <a16:creationId xmlns:a16="http://schemas.microsoft.com/office/drawing/2014/main" id="{00000000-0008-0000-0800-00006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7" name="Text Box 201">
          <a:extLst>
            <a:ext uri="{FF2B5EF4-FFF2-40B4-BE49-F238E27FC236}">
              <a16:creationId xmlns:a16="http://schemas.microsoft.com/office/drawing/2014/main" id="{00000000-0008-0000-0800-00006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8" name="Text Box 202">
          <a:extLst>
            <a:ext uri="{FF2B5EF4-FFF2-40B4-BE49-F238E27FC236}">
              <a16:creationId xmlns:a16="http://schemas.microsoft.com/office/drawing/2014/main" id="{00000000-0008-0000-0800-00006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29" name="Text Box 203">
          <a:extLst>
            <a:ext uri="{FF2B5EF4-FFF2-40B4-BE49-F238E27FC236}">
              <a16:creationId xmlns:a16="http://schemas.microsoft.com/office/drawing/2014/main" id="{00000000-0008-0000-0800-00006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0" name="Text Box 204">
          <a:extLst>
            <a:ext uri="{FF2B5EF4-FFF2-40B4-BE49-F238E27FC236}">
              <a16:creationId xmlns:a16="http://schemas.microsoft.com/office/drawing/2014/main" id="{00000000-0008-0000-0800-00006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1" name="Text Box 205">
          <a:extLst>
            <a:ext uri="{FF2B5EF4-FFF2-40B4-BE49-F238E27FC236}">
              <a16:creationId xmlns:a16="http://schemas.microsoft.com/office/drawing/2014/main" id="{00000000-0008-0000-0800-00006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2" name="Text Box 206">
          <a:extLst>
            <a:ext uri="{FF2B5EF4-FFF2-40B4-BE49-F238E27FC236}">
              <a16:creationId xmlns:a16="http://schemas.microsoft.com/office/drawing/2014/main" id="{00000000-0008-0000-0800-00007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3" name="Text Box 207">
          <a:extLst>
            <a:ext uri="{FF2B5EF4-FFF2-40B4-BE49-F238E27FC236}">
              <a16:creationId xmlns:a16="http://schemas.microsoft.com/office/drawing/2014/main" id="{00000000-0008-0000-0800-00007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4" name="Text Box 208">
          <a:extLst>
            <a:ext uri="{FF2B5EF4-FFF2-40B4-BE49-F238E27FC236}">
              <a16:creationId xmlns:a16="http://schemas.microsoft.com/office/drawing/2014/main" id="{00000000-0008-0000-0800-00007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5" name="Text Box 209">
          <a:extLst>
            <a:ext uri="{FF2B5EF4-FFF2-40B4-BE49-F238E27FC236}">
              <a16:creationId xmlns:a16="http://schemas.microsoft.com/office/drawing/2014/main" id="{00000000-0008-0000-0800-00007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6" name="Text Box 210">
          <a:extLst>
            <a:ext uri="{FF2B5EF4-FFF2-40B4-BE49-F238E27FC236}">
              <a16:creationId xmlns:a16="http://schemas.microsoft.com/office/drawing/2014/main" id="{00000000-0008-0000-0800-00007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7" name="Text Box 211">
          <a:extLst>
            <a:ext uri="{FF2B5EF4-FFF2-40B4-BE49-F238E27FC236}">
              <a16:creationId xmlns:a16="http://schemas.microsoft.com/office/drawing/2014/main" id="{00000000-0008-0000-0800-00007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8" name="Text Box 212">
          <a:extLst>
            <a:ext uri="{FF2B5EF4-FFF2-40B4-BE49-F238E27FC236}">
              <a16:creationId xmlns:a16="http://schemas.microsoft.com/office/drawing/2014/main" id="{00000000-0008-0000-0800-00007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9" name="Text Box 213">
          <a:extLst>
            <a:ext uri="{FF2B5EF4-FFF2-40B4-BE49-F238E27FC236}">
              <a16:creationId xmlns:a16="http://schemas.microsoft.com/office/drawing/2014/main" id="{00000000-0008-0000-0800-00007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0" name="Text Box 214">
          <a:extLst>
            <a:ext uri="{FF2B5EF4-FFF2-40B4-BE49-F238E27FC236}">
              <a16:creationId xmlns:a16="http://schemas.microsoft.com/office/drawing/2014/main" id="{00000000-0008-0000-0800-00007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1" name="Text Box 215">
          <a:extLst>
            <a:ext uri="{FF2B5EF4-FFF2-40B4-BE49-F238E27FC236}">
              <a16:creationId xmlns:a16="http://schemas.microsoft.com/office/drawing/2014/main" id="{00000000-0008-0000-0800-00007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2" name="Text Box 216">
          <a:extLst>
            <a:ext uri="{FF2B5EF4-FFF2-40B4-BE49-F238E27FC236}">
              <a16:creationId xmlns:a16="http://schemas.microsoft.com/office/drawing/2014/main" id="{00000000-0008-0000-0800-00007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3" name="Text Box 217">
          <a:extLst>
            <a:ext uri="{FF2B5EF4-FFF2-40B4-BE49-F238E27FC236}">
              <a16:creationId xmlns:a16="http://schemas.microsoft.com/office/drawing/2014/main" id="{00000000-0008-0000-0800-00007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4" name="Text Box 218">
          <a:extLst>
            <a:ext uri="{FF2B5EF4-FFF2-40B4-BE49-F238E27FC236}">
              <a16:creationId xmlns:a16="http://schemas.microsoft.com/office/drawing/2014/main" id="{00000000-0008-0000-0800-00007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5" name="Text Box 219">
          <a:extLst>
            <a:ext uri="{FF2B5EF4-FFF2-40B4-BE49-F238E27FC236}">
              <a16:creationId xmlns:a16="http://schemas.microsoft.com/office/drawing/2014/main" id="{00000000-0008-0000-0800-00007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6" name="Text Box 220">
          <a:extLst>
            <a:ext uri="{FF2B5EF4-FFF2-40B4-BE49-F238E27FC236}">
              <a16:creationId xmlns:a16="http://schemas.microsoft.com/office/drawing/2014/main" id="{00000000-0008-0000-0800-00007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7" name="Text Box 221">
          <a:extLst>
            <a:ext uri="{FF2B5EF4-FFF2-40B4-BE49-F238E27FC236}">
              <a16:creationId xmlns:a16="http://schemas.microsoft.com/office/drawing/2014/main" id="{00000000-0008-0000-0800-00007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8" name="Text Box 222">
          <a:extLst>
            <a:ext uri="{FF2B5EF4-FFF2-40B4-BE49-F238E27FC236}">
              <a16:creationId xmlns:a16="http://schemas.microsoft.com/office/drawing/2014/main" id="{00000000-0008-0000-0800-00008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9" name="Text Box 223">
          <a:extLst>
            <a:ext uri="{FF2B5EF4-FFF2-40B4-BE49-F238E27FC236}">
              <a16:creationId xmlns:a16="http://schemas.microsoft.com/office/drawing/2014/main" id="{00000000-0008-0000-0800-00008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0" name="Text Box 224">
          <a:extLst>
            <a:ext uri="{FF2B5EF4-FFF2-40B4-BE49-F238E27FC236}">
              <a16:creationId xmlns:a16="http://schemas.microsoft.com/office/drawing/2014/main" id="{00000000-0008-0000-0800-00008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1" name="Text Box 225">
          <a:extLst>
            <a:ext uri="{FF2B5EF4-FFF2-40B4-BE49-F238E27FC236}">
              <a16:creationId xmlns:a16="http://schemas.microsoft.com/office/drawing/2014/main" id="{00000000-0008-0000-0800-00008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2" name="Text Box 226">
          <a:extLst>
            <a:ext uri="{FF2B5EF4-FFF2-40B4-BE49-F238E27FC236}">
              <a16:creationId xmlns:a16="http://schemas.microsoft.com/office/drawing/2014/main" id="{00000000-0008-0000-0800-00008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3" name="Text Box 227">
          <a:extLst>
            <a:ext uri="{FF2B5EF4-FFF2-40B4-BE49-F238E27FC236}">
              <a16:creationId xmlns:a16="http://schemas.microsoft.com/office/drawing/2014/main" id="{00000000-0008-0000-0800-00008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4" name="Text Box 228">
          <a:extLst>
            <a:ext uri="{FF2B5EF4-FFF2-40B4-BE49-F238E27FC236}">
              <a16:creationId xmlns:a16="http://schemas.microsoft.com/office/drawing/2014/main" id="{00000000-0008-0000-0800-00008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5" name="Text Box 229">
          <a:extLst>
            <a:ext uri="{FF2B5EF4-FFF2-40B4-BE49-F238E27FC236}">
              <a16:creationId xmlns:a16="http://schemas.microsoft.com/office/drawing/2014/main" id="{00000000-0008-0000-0800-00008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6" name="Text Box 230">
          <a:extLst>
            <a:ext uri="{FF2B5EF4-FFF2-40B4-BE49-F238E27FC236}">
              <a16:creationId xmlns:a16="http://schemas.microsoft.com/office/drawing/2014/main" id="{00000000-0008-0000-0800-00008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7" name="Text Box 231">
          <a:extLst>
            <a:ext uri="{FF2B5EF4-FFF2-40B4-BE49-F238E27FC236}">
              <a16:creationId xmlns:a16="http://schemas.microsoft.com/office/drawing/2014/main" id="{00000000-0008-0000-0800-00008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8" name="Text Box 232">
          <a:extLst>
            <a:ext uri="{FF2B5EF4-FFF2-40B4-BE49-F238E27FC236}">
              <a16:creationId xmlns:a16="http://schemas.microsoft.com/office/drawing/2014/main" id="{00000000-0008-0000-0800-00008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9" name="Text Box 233">
          <a:extLst>
            <a:ext uri="{FF2B5EF4-FFF2-40B4-BE49-F238E27FC236}">
              <a16:creationId xmlns:a16="http://schemas.microsoft.com/office/drawing/2014/main" id="{00000000-0008-0000-0800-00008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0" name="Text Box 234">
          <a:extLst>
            <a:ext uri="{FF2B5EF4-FFF2-40B4-BE49-F238E27FC236}">
              <a16:creationId xmlns:a16="http://schemas.microsoft.com/office/drawing/2014/main" id="{00000000-0008-0000-0800-00008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1" name="Text Box 235">
          <a:extLst>
            <a:ext uri="{FF2B5EF4-FFF2-40B4-BE49-F238E27FC236}">
              <a16:creationId xmlns:a16="http://schemas.microsoft.com/office/drawing/2014/main" id="{00000000-0008-0000-0800-00008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2" name="Text Box 236">
          <a:extLst>
            <a:ext uri="{FF2B5EF4-FFF2-40B4-BE49-F238E27FC236}">
              <a16:creationId xmlns:a16="http://schemas.microsoft.com/office/drawing/2014/main" id="{00000000-0008-0000-0800-00008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3" name="Text Box 237">
          <a:extLst>
            <a:ext uri="{FF2B5EF4-FFF2-40B4-BE49-F238E27FC236}">
              <a16:creationId xmlns:a16="http://schemas.microsoft.com/office/drawing/2014/main" id="{00000000-0008-0000-0800-00008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4" name="Text Box 238">
          <a:extLst>
            <a:ext uri="{FF2B5EF4-FFF2-40B4-BE49-F238E27FC236}">
              <a16:creationId xmlns:a16="http://schemas.microsoft.com/office/drawing/2014/main" id="{00000000-0008-0000-0800-00009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5" name="Text Box 239">
          <a:extLst>
            <a:ext uri="{FF2B5EF4-FFF2-40B4-BE49-F238E27FC236}">
              <a16:creationId xmlns:a16="http://schemas.microsoft.com/office/drawing/2014/main" id="{00000000-0008-0000-0800-00009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6" name="Text Box 240">
          <a:extLst>
            <a:ext uri="{FF2B5EF4-FFF2-40B4-BE49-F238E27FC236}">
              <a16:creationId xmlns:a16="http://schemas.microsoft.com/office/drawing/2014/main" id="{00000000-0008-0000-0800-00009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7" name="Text Box 241">
          <a:extLst>
            <a:ext uri="{FF2B5EF4-FFF2-40B4-BE49-F238E27FC236}">
              <a16:creationId xmlns:a16="http://schemas.microsoft.com/office/drawing/2014/main" id="{00000000-0008-0000-0800-00009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8" name="Text Box 242">
          <a:extLst>
            <a:ext uri="{FF2B5EF4-FFF2-40B4-BE49-F238E27FC236}">
              <a16:creationId xmlns:a16="http://schemas.microsoft.com/office/drawing/2014/main" id="{00000000-0008-0000-0800-00009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9" name="Text Box 243">
          <a:extLst>
            <a:ext uri="{FF2B5EF4-FFF2-40B4-BE49-F238E27FC236}">
              <a16:creationId xmlns:a16="http://schemas.microsoft.com/office/drawing/2014/main" id="{00000000-0008-0000-0800-00009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0" name="Text Box 244">
          <a:extLst>
            <a:ext uri="{FF2B5EF4-FFF2-40B4-BE49-F238E27FC236}">
              <a16:creationId xmlns:a16="http://schemas.microsoft.com/office/drawing/2014/main" id="{00000000-0008-0000-0800-00009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1" name="Text Box 245">
          <a:extLst>
            <a:ext uri="{FF2B5EF4-FFF2-40B4-BE49-F238E27FC236}">
              <a16:creationId xmlns:a16="http://schemas.microsoft.com/office/drawing/2014/main" id="{00000000-0008-0000-0800-00009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2" name="Text Box 246">
          <a:extLst>
            <a:ext uri="{FF2B5EF4-FFF2-40B4-BE49-F238E27FC236}">
              <a16:creationId xmlns:a16="http://schemas.microsoft.com/office/drawing/2014/main" id="{00000000-0008-0000-0800-00009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3" name="Text Box 247">
          <a:extLst>
            <a:ext uri="{FF2B5EF4-FFF2-40B4-BE49-F238E27FC236}">
              <a16:creationId xmlns:a16="http://schemas.microsoft.com/office/drawing/2014/main" id="{00000000-0008-0000-0800-00009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4" name="Text Box 248">
          <a:extLst>
            <a:ext uri="{FF2B5EF4-FFF2-40B4-BE49-F238E27FC236}">
              <a16:creationId xmlns:a16="http://schemas.microsoft.com/office/drawing/2014/main" id="{00000000-0008-0000-0800-00009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5" name="Text Box 249">
          <a:extLst>
            <a:ext uri="{FF2B5EF4-FFF2-40B4-BE49-F238E27FC236}">
              <a16:creationId xmlns:a16="http://schemas.microsoft.com/office/drawing/2014/main" id="{00000000-0008-0000-0800-00009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6" name="Text Box 250">
          <a:extLst>
            <a:ext uri="{FF2B5EF4-FFF2-40B4-BE49-F238E27FC236}">
              <a16:creationId xmlns:a16="http://schemas.microsoft.com/office/drawing/2014/main" id="{00000000-0008-0000-0800-00009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7" name="Text Box 251">
          <a:extLst>
            <a:ext uri="{FF2B5EF4-FFF2-40B4-BE49-F238E27FC236}">
              <a16:creationId xmlns:a16="http://schemas.microsoft.com/office/drawing/2014/main" id="{00000000-0008-0000-0800-00009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8" name="Text Box 252">
          <a:extLst>
            <a:ext uri="{FF2B5EF4-FFF2-40B4-BE49-F238E27FC236}">
              <a16:creationId xmlns:a16="http://schemas.microsoft.com/office/drawing/2014/main" id="{00000000-0008-0000-0800-00009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9" name="Text Box 253">
          <a:extLst>
            <a:ext uri="{FF2B5EF4-FFF2-40B4-BE49-F238E27FC236}">
              <a16:creationId xmlns:a16="http://schemas.microsoft.com/office/drawing/2014/main" id="{00000000-0008-0000-0800-00009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0" name="Text Box 254">
          <a:extLst>
            <a:ext uri="{FF2B5EF4-FFF2-40B4-BE49-F238E27FC236}">
              <a16:creationId xmlns:a16="http://schemas.microsoft.com/office/drawing/2014/main" id="{00000000-0008-0000-0800-0000A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1" name="Text Box 255">
          <a:extLst>
            <a:ext uri="{FF2B5EF4-FFF2-40B4-BE49-F238E27FC236}">
              <a16:creationId xmlns:a16="http://schemas.microsoft.com/office/drawing/2014/main" id="{00000000-0008-0000-0800-0000A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2" name="Text Box 256">
          <a:extLst>
            <a:ext uri="{FF2B5EF4-FFF2-40B4-BE49-F238E27FC236}">
              <a16:creationId xmlns:a16="http://schemas.microsoft.com/office/drawing/2014/main" id="{00000000-0008-0000-0800-0000A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3" name="Text Box 257">
          <a:extLst>
            <a:ext uri="{FF2B5EF4-FFF2-40B4-BE49-F238E27FC236}">
              <a16:creationId xmlns:a16="http://schemas.microsoft.com/office/drawing/2014/main" id="{00000000-0008-0000-0800-0000A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4" name="Text Box 258">
          <a:extLst>
            <a:ext uri="{FF2B5EF4-FFF2-40B4-BE49-F238E27FC236}">
              <a16:creationId xmlns:a16="http://schemas.microsoft.com/office/drawing/2014/main" id="{00000000-0008-0000-0800-0000A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5" name="Text Box 259">
          <a:extLst>
            <a:ext uri="{FF2B5EF4-FFF2-40B4-BE49-F238E27FC236}">
              <a16:creationId xmlns:a16="http://schemas.microsoft.com/office/drawing/2014/main" id="{00000000-0008-0000-0800-0000A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6" name="Text Box 260">
          <a:extLst>
            <a:ext uri="{FF2B5EF4-FFF2-40B4-BE49-F238E27FC236}">
              <a16:creationId xmlns:a16="http://schemas.microsoft.com/office/drawing/2014/main" id="{00000000-0008-0000-0800-0000A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7" name="Text Box 261">
          <a:extLst>
            <a:ext uri="{FF2B5EF4-FFF2-40B4-BE49-F238E27FC236}">
              <a16:creationId xmlns:a16="http://schemas.microsoft.com/office/drawing/2014/main" id="{00000000-0008-0000-0800-0000A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8" name="Text Box 262">
          <a:extLst>
            <a:ext uri="{FF2B5EF4-FFF2-40B4-BE49-F238E27FC236}">
              <a16:creationId xmlns:a16="http://schemas.microsoft.com/office/drawing/2014/main" id="{00000000-0008-0000-0800-0000A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9" name="Text Box 263">
          <a:extLst>
            <a:ext uri="{FF2B5EF4-FFF2-40B4-BE49-F238E27FC236}">
              <a16:creationId xmlns:a16="http://schemas.microsoft.com/office/drawing/2014/main" id="{00000000-0008-0000-0800-0000A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0" name="Text Box 264">
          <a:extLst>
            <a:ext uri="{FF2B5EF4-FFF2-40B4-BE49-F238E27FC236}">
              <a16:creationId xmlns:a16="http://schemas.microsoft.com/office/drawing/2014/main" id="{00000000-0008-0000-0800-0000A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1" name="Text Box 265">
          <a:extLst>
            <a:ext uri="{FF2B5EF4-FFF2-40B4-BE49-F238E27FC236}">
              <a16:creationId xmlns:a16="http://schemas.microsoft.com/office/drawing/2014/main" id="{00000000-0008-0000-0800-0000A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2" name="Text Box 266">
          <a:extLst>
            <a:ext uri="{FF2B5EF4-FFF2-40B4-BE49-F238E27FC236}">
              <a16:creationId xmlns:a16="http://schemas.microsoft.com/office/drawing/2014/main" id="{00000000-0008-0000-0800-0000A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3" name="Text Box 267">
          <a:extLst>
            <a:ext uri="{FF2B5EF4-FFF2-40B4-BE49-F238E27FC236}">
              <a16:creationId xmlns:a16="http://schemas.microsoft.com/office/drawing/2014/main" id="{00000000-0008-0000-0800-0000A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4" name="Text Box 268">
          <a:extLst>
            <a:ext uri="{FF2B5EF4-FFF2-40B4-BE49-F238E27FC236}">
              <a16:creationId xmlns:a16="http://schemas.microsoft.com/office/drawing/2014/main" id="{00000000-0008-0000-0800-0000A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5" name="Text Box 269">
          <a:extLst>
            <a:ext uri="{FF2B5EF4-FFF2-40B4-BE49-F238E27FC236}">
              <a16:creationId xmlns:a16="http://schemas.microsoft.com/office/drawing/2014/main" id="{00000000-0008-0000-0800-0000A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6" name="Text Box 270">
          <a:extLst>
            <a:ext uri="{FF2B5EF4-FFF2-40B4-BE49-F238E27FC236}">
              <a16:creationId xmlns:a16="http://schemas.microsoft.com/office/drawing/2014/main" id="{00000000-0008-0000-0800-0000B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7" name="Text Box 271">
          <a:extLst>
            <a:ext uri="{FF2B5EF4-FFF2-40B4-BE49-F238E27FC236}">
              <a16:creationId xmlns:a16="http://schemas.microsoft.com/office/drawing/2014/main" id="{00000000-0008-0000-0800-0000B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8" name="Text Box 272">
          <a:extLst>
            <a:ext uri="{FF2B5EF4-FFF2-40B4-BE49-F238E27FC236}">
              <a16:creationId xmlns:a16="http://schemas.microsoft.com/office/drawing/2014/main" id="{00000000-0008-0000-0800-0000B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9" name="Text Box 273">
          <a:extLst>
            <a:ext uri="{FF2B5EF4-FFF2-40B4-BE49-F238E27FC236}">
              <a16:creationId xmlns:a16="http://schemas.microsoft.com/office/drawing/2014/main" id="{00000000-0008-0000-0800-0000B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0" name="Text Box 274">
          <a:extLst>
            <a:ext uri="{FF2B5EF4-FFF2-40B4-BE49-F238E27FC236}">
              <a16:creationId xmlns:a16="http://schemas.microsoft.com/office/drawing/2014/main" id="{00000000-0008-0000-0800-0000B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1" name="Text Box 275">
          <a:extLst>
            <a:ext uri="{FF2B5EF4-FFF2-40B4-BE49-F238E27FC236}">
              <a16:creationId xmlns:a16="http://schemas.microsoft.com/office/drawing/2014/main" id="{00000000-0008-0000-0800-0000B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2" name="Text Box 276">
          <a:extLst>
            <a:ext uri="{FF2B5EF4-FFF2-40B4-BE49-F238E27FC236}">
              <a16:creationId xmlns:a16="http://schemas.microsoft.com/office/drawing/2014/main" id="{00000000-0008-0000-0800-0000B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3" name="Text Box 277">
          <a:extLst>
            <a:ext uri="{FF2B5EF4-FFF2-40B4-BE49-F238E27FC236}">
              <a16:creationId xmlns:a16="http://schemas.microsoft.com/office/drawing/2014/main" id="{00000000-0008-0000-0800-0000B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4" name="Text Box 278">
          <a:extLst>
            <a:ext uri="{FF2B5EF4-FFF2-40B4-BE49-F238E27FC236}">
              <a16:creationId xmlns:a16="http://schemas.microsoft.com/office/drawing/2014/main" id="{00000000-0008-0000-0800-0000B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5" name="Text Box 279">
          <a:extLst>
            <a:ext uri="{FF2B5EF4-FFF2-40B4-BE49-F238E27FC236}">
              <a16:creationId xmlns:a16="http://schemas.microsoft.com/office/drawing/2014/main" id="{00000000-0008-0000-0800-0000B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6" name="Text Box 280">
          <a:extLst>
            <a:ext uri="{FF2B5EF4-FFF2-40B4-BE49-F238E27FC236}">
              <a16:creationId xmlns:a16="http://schemas.microsoft.com/office/drawing/2014/main" id="{00000000-0008-0000-0800-0000B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7" name="Text Box 281">
          <a:extLst>
            <a:ext uri="{FF2B5EF4-FFF2-40B4-BE49-F238E27FC236}">
              <a16:creationId xmlns:a16="http://schemas.microsoft.com/office/drawing/2014/main" id="{00000000-0008-0000-0800-0000B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8" name="Text Box 282">
          <a:extLst>
            <a:ext uri="{FF2B5EF4-FFF2-40B4-BE49-F238E27FC236}">
              <a16:creationId xmlns:a16="http://schemas.microsoft.com/office/drawing/2014/main" id="{00000000-0008-0000-0800-0000B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9" name="Text Box 283">
          <a:extLst>
            <a:ext uri="{FF2B5EF4-FFF2-40B4-BE49-F238E27FC236}">
              <a16:creationId xmlns:a16="http://schemas.microsoft.com/office/drawing/2014/main" id="{00000000-0008-0000-0800-0000B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0" name="Text Box 284">
          <a:extLst>
            <a:ext uri="{FF2B5EF4-FFF2-40B4-BE49-F238E27FC236}">
              <a16:creationId xmlns:a16="http://schemas.microsoft.com/office/drawing/2014/main" id="{00000000-0008-0000-0800-0000B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1" name="Text Box 285">
          <a:extLst>
            <a:ext uri="{FF2B5EF4-FFF2-40B4-BE49-F238E27FC236}">
              <a16:creationId xmlns:a16="http://schemas.microsoft.com/office/drawing/2014/main" id="{00000000-0008-0000-0800-0000B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2" name="Text Box 286">
          <a:extLst>
            <a:ext uri="{FF2B5EF4-FFF2-40B4-BE49-F238E27FC236}">
              <a16:creationId xmlns:a16="http://schemas.microsoft.com/office/drawing/2014/main" id="{00000000-0008-0000-0800-0000C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3" name="Text Box 287">
          <a:extLst>
            <a:ext uri="{FF2B5EF4-FFF2-40B4-BE49-F238E27FC236}">
              <a16:creationId xmlns:a16="http://schemas.microsoft.com/office/drawing/2014/main" id="{00000000-0008-0000-0800-0000C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4" name="Text Box 288">
          <a:extLst>
            <a:ext uri="{FF2B5EF4-FFF2-40B4-BE49-F238E27FC236}">
              <a16:creationId xmlns:a16="http://schemas.microsoft.com/office/drawing/2014/main" id="{00000000-0008-0000-0800-0000C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5" name="Text Box 289">
          <a:extLst>
            <a:ext uri="{FF2B5EF4-FFF2-40B4-BE49-F238E27FC236}">
              <a16:creationId xmlns:a16="http://schemas.microsoft.com/office/drawing/2014/main" id="{00000000-0008-0000-0800-0000C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6" name="Text Box 290">
          <a:extLst>
            <a:ext uri="{FF2B5EF4-FFF2-40B4-BE49-F238E27FC236}">
              <a16:creationId xmlns:a16="http://schemas.microsoft.com/office/drawing/2014/main" id="{00000000-0008-0000-0800-0000C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7" name="Text Box 291">
          <a:extLst>
            <a:ext uri="{FF2B5EF4-FFF2-40B4-BE49-F238E27FC236}">
              <a16:creationId xmlns:a16="http://schemas.microsoft.com/office/drawing/2014/main" id="{00000000-0008-0000-0800-0000C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8" name="Text Box 292">
          <a:extLst>
            <a:ext uri="{FF2B5EF4-FFF2-40B4-BE49-F238E27FC236}">
              <a16:creationId xmlns:a16="http://schemas.microsoft.com/office/drawing/2014/main" id="{00000000-0008-0000-0800-0000C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9" name="Text Box 293">
          <a:extLst>
            <a:ext uri="{FF2B5EF4-FFF2-40B4-BE49-F238E27FC236}">
              <a16:creationId xmlns:a16="http://schemas.microsoft.com/office/drawing/2014/main" id="{00000000-0008-0000-0800-0000C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0" name="Text Box 294">
          <a:extLst>
            <a:ext uri="{FF2B5EF4-FFF2-40B4-BE49-F238E27FC236}">
              <a16:creationId xmlns:a16="http://schemas.microsoft.com/office/drawing/2014/main" id="{00000000-0008-0000-0800-0000C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1" name="Text Box 295">
          <a:extLst>
            <a:ext uri="{FF2B5EF4-FFF2-40B4-BE49-F238E27FC236}">
              <a16:creationId xmlns:a16="http://schemas.microsoft.com/office/drawing/2014/main" id="{00000000-0008-0000-0800-0000C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2" name="Text Box 296">
          <a:extLst>
            <a:ext uri="{FF2B5EF4-FFF2-40B4-BE49-F238E27FC236}">
              <a16:creationId xmlns:a16="http://schemas.microsoft.com/office/drawing/2014/main" id="{00000000-0008-0000-0800-0000C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3" name="Text Box 297">
          <a:extLst>
            <a:ext uri="{FF2B5EF4-FFF2-40B4-BE49-F238E27FC236}">
              <a16:creationId xmlns:a16="http://schemas.microsoft.com/office/drawing/2014/main" id="{00000000-0008-0000-0800-0000C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4" name="Text Box 298">
          <a:extLst>
            <a:ext uri="{FF2B5EF4-FFF2-40B4-BE49-F238E27FC236}">
              <a16:creationId xmlns:a16="http://schemas.microsoft.com/office/drawing/2014/main" id="{00000000-0008-0000-0800-0000C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5" name="Text Box 299">
          <a:extLst>
            <a:ext uri="{FF2B5EF4-FFF2-40B4-BE49-F238E27FC236}">
              <a16:creationId xmlns:a16="http://schemas.microsoft.com/office/drawing/2014/main" id="{00000000-0008-0000-0800-0000C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6" name="Text Box 300">
          <a:extLst>
            <a:ext uri="{FF2B5EF4-FFF2-40B4-BE49-F238E27FC236}">
              <a16:creationId xmlns:a16="http://schemas.microsoft.com/office/drawing/2014/main" id="{00000000-0008-0000-0800-0000C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7" name="Text Box 301">
          <a:extLst>
            <a:ext uri="{FF2B5EF4-FFF2-40B4-BE49-F238E27FC236}">
              <a16:creationId xmlns:a16="http://schemas.microsoft.com/office/drawing/2014/main" id="{00000000-0008-0000-0800-0000C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8" name="Text Box 302">
          <a:extLst>
            <a:ext uri="{FF2B5EF4-FFF2-40B4-BE49-F238E27FC236}">
              <a16:creationId xmlns:a16="http://schemas.microsoft.com/office/drawing/2014/main" id="{00000000-0008-0000-0800-0000D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9" name="Text Box 303">
          <a:extLst>
            <a:ext uri="{FF2B5EF4-FFF2-40B4-BE49-F238E27FC236}">
              <a16:creationId xmlns:a16="http://schemas.microsoft.com/office/drawing/2014/main" id="{00000000-0008-0000-0800-0000D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0" name="Text Box 304">
          <a:extLst>
            <a:ext uri="{FF2B5EF4-FFF2-40B4-BE49-F238E27FC236}">
              <a16:creationId xmlns:a16="http://schemas.microsoft.com/office/drawing/2014/main" id="{00000000-0008-0000-0800-0000D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1" name="Text Box 305">
          <a:extLst>
            <a:ext uri="{FF2B5EF4-FFF2-40B4-BE49-F238E27FC236}">
              <a16:creationId xmlns:a16="http://schemas.microsoft.com/office/drawing/2014/main" id="{00000000-0008-0000-0800-0000D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2" name="Text Box 306">
          <a:extLst>
            <a:ext uri="{FF2B5EF4-FFF2-40B4-BE49-F238E27FC236}">
              <a16:creationId xmlns:a16="http://schemas.microsoft.com/office/drawing/2014/main" id="{00000000-0008-0000-0800-0000D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3" name="Text Box 307">
          <a:extLst>
            <a:ext uri="{FF2B5EF4-FFF2-40B4-BE49-F238E27FC236}">
              <a16:creationId xmlns:a16="http://schemas.microsoft.com/office/drawing/2014/main" id="{00000000-0008-0000-0800-0000D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4" name="Text Box 308">
          <a:extLst>
            <a:ext uri="{FF2B5EF4-FFF2-40B4-BE49-F238E27FC236}">
              <a16:creationId xmlns:a16="http://schemas.microsoft.com/office/drawing/2014/main" id="{00000000-0008-0000-0800-0000D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5" name="Text Box 309">
          <a:extLst>
            <a:ext uri="{FF2B5EF4-FFF2-40B4-BE49-F238E27FC236}">
              <a16:creationId xmlns:a16="http://schemas.microsoft.com/office/drawing/2014/main" id="{00000000-0008-0000-0800-0000D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6" name="Text Box 310">
          <a:extLst>
            <a:ext uri="{FF2B5EF4-FFF2-40B4-BE49-F238E27FC236}">
              <a16:creationId xmlns:a16="http://schemas.microsoft.com/office/drawing/2014/main" id="{00000000-0008-0000-0800-0000D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7" name="Text Box 311">
          <a:extLst>
            <a:ext uri="{FF2B5EF4-FFF2-40B4-BE49-F238E27FC236}">
              <a16:creationId xmlns:a16="http://schemas.microsoft.com/office/drawing/2014/main" id="{00000000-0008-0000-0800-0000D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8" name="Text Box 312">
          <a:extLst>
            <a:ext uri="{FF2B5EF4-FFF2-40B4-BE49-F238E27FC236}">
              <a16:creationId xmlns:a16="http://schemas.microsoft.com/office/drawing/2014/main" id="{00000000-0008-0000-0800-0000D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9" name="Text Box 313">
          <a:extLst>
            <a:ext uri="{FF2B5EF4-FFF2-40B4-BE49-F238E27FC236}">
              <a16:creationId xmlns:a16="http://schemas.microsoft.com/office/drawing/2014/main" id="{00000000-0008-0000-0800-0000D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0" name="Text Box 314">
          <a:extLst>
            <a:ext uri="{FF2B5EF4-FFF2-40B4-BE49-F238E27FC236}">
              <a16:creationId xmlns:a16="http://schemas.microsoft.com/office/drawing/2014/main" id="{00000000-0008-0000-0800-0000D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1" name="Text Box 315">
          <a:extLst>
            <a:ext uri="{FF2B5EF4-FFF2-40B4-BE49-F238E27FC236}">
              <a16:creationId xmlns:a16="http://schemas.microsoft.com/office/drawing/2014/main" id="{00000000-0008-0000-0800-0000D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2" name="Text Box 316">
          <a:extLst>
            <a:ext uri="{FF2B5EF4-FFF2-40B4-BE49-F238E27FC236}">
              <a16:creationId xmlns:a16="http://schemas.microsoft.com/office/drawing/2014/main" id="{00000000-0008-0000-0800-0000D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3" name="Text Box 317">
          <a:extLst>
            <a:ext uri="{FF2B5EF4-FFF2-40B4-BE49-F238E27FC236}">
              <a16:creationId xmlns:a16="http://schemas.microsoft.com/office/drawing/2014/main" id="{00000000-0008-0000-0800-0000D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4" name="Text Box 318">
          <a:extLst>
            <a:ext uri="{FF2B5EF4-FFF2-40B4-BE49-F238E27FC236}">
              <a16:creationId xmlns:a16="http://schemas.microsoft.com/office/drawing/2014/main" id="{00000000-0008-0000-0800-0000E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5" name="Text Box 319">
          <a:extLst>
            <a:ext uri="{FF2B5EF4-FFF2-40B4-BE49-F238E27FC236}">
              <a16:creationId xmlns:a16="http://schemas.microsoft.com/office/drawing/2014/main" id="{00000000-0008-0000-0800-0000E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6" name="Text Box 320">
          <a:extLst>
            <a:ext uri="{FF2B5EF4-FFF2-40B4-BE49-F238E27FC236}">
              <a16:creationId xmlns:a16="http://schemas.microsoft.com/office/drawing/2014/main" id="{00000000-0008-0000-0800-0000E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7" name="Text Box 28">
          <a:extLst>
            <a:ext uri="{FF2B5EF4-FFF2-40B4-BE49-F238E27FC236}">
              <a16:creationId xmlns:a16="http://schemas.microsoft.com/office/drawing/2014/main" id="{00000000-0008-0000-0800-0000E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8" name="Text Box 29">
          <a:extLst>
            <a:ext uri="{FF2B5EF4-FFF2-40B4-BE49-F238E27FC236}">
              <a16:creationId xmlns:a16="http://schemas.microsoft.com/office/drawing/2014/main" id="{00000000-0008-0000-0800-0000E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9" name="Text Box 30">
          <a:extLst>
            <a:ext uri="{FF2B5EF4-FFF2-40B4-BE49-F238E27FC236}">
              <a16:creationId xmlns:a16="http://schemas.microsoft.com/office/drawing/2014/main" id="{00000000-0008-0000-0800-0000E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0" name="Text Box 31">
          <a:extLst>
            <a:ext uri="{FF2B5EF4-FFF2-40B4-BE49-F238E27FC236}">
              <a16:creationId xmlns:a16="http://schemas.microsoft.com/office/drawing/2014/main" id="{00000000-0008-0000-0800-0000E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1" name="Text Box 32">
          <a:extLst>
            <a:ext uri="{FF2B5EF4-FFF2-40B4-BE49-F238E27FC236}">
              <a16:creationId xmlns:a16="http://schemas.microsoft.com/office/drawing/2014/main" id="{00000000-0008-0000-0800-0000E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2" name="Text Box 33">
          <a:extLst>
            <a:ext uri="{FF2B5EF4-FFF2-40B4-BE49-F238E27FC236}">
              <a16:creationId xmlns:a16="http://schemas.microsoft.com/office/drawing/2014/main" id="{00000000-0008-0000-0800-0000E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3" name="Text Box 34">
          <a:extLst>
            <a:ext uri="{FF2B5EF4-FFF2-40B4-BE49-F238E27FC236}">
              <a16:creationId xmlns:a16="http://schemas.microsoft.com/office/drawing/2014/main" id="{00000000-0008-0000-0800-0000E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4" name="Text Box 35">
          <a:extLst>
            <a:ext uri="{FF2B5EF4-FFF2-40B4-BE49-F238E27FC236}">
              <a16:creationId xmlns:a16="http://schemas.microsoft.com/office/drawing/2014/main" id="{00000000-0008-0000-0800-0000E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5" name="Text Box 36">
          <a:extLst>
            <a:ext uri="{FF2B5EF4-FFF2-40B4-BE49-F238E27FC236}">
              <a16:creationId xmlns:a16="http://schemas.microsoft.com/office/drawing/2014/main" id="{00000000-0008-0000-0800-0000E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6" name="Text Box 37">
          <a:extLst>
            <a:ext uri="{FF2B5EF4-FFF2-40B4-BE49-F238E27FC236}">
              <a16:creationId xmlns:a16="http://schemas.microsoft.com/office/drawing/2014/main" id="{00000000-0008-0000-0800-0000E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7" name="Text Box 38">
          <a:extLst>
            <a:ext uri="{FF2B5EF4-FFF2-40B4-BE49-F238E27FC236}">
              <a16:creationId xmlns:a16="http://schemas.microsoft.com/office/drawing/2014/main" id="{00000000-0008-0000-0800-0000E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8" name="Text Box 39">
          <a:extLst>
            <a:ext uri="{FF2B5EF4-FFF2-40B4-BE49-F238E27FC236}">
              <a16:creationId xmlns:a16="http://schemas.microsoft.com/office/drawing/2014/main" id="{00000000-0008-0000-0800-0000E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9" name="Text Box 40">
          <a:extLst>
            <a:ext uri="{FF2B5EF4-FFF2-40B4-BE49-F238E27FC236}">
              <a16:creationId xmlns:a16="http://schemas.microsoft.com/office/drawing/2014/main" id="{00000000-0008-0000-0800-0000E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0" name="Text Box 41">
          <a:extLst>
            <a:ext uri="{FF2B5EF4-FFF2-40B4-BE49-F238E27FC236}">
              <a16:creationId xmlns:a16="http://schemas.microsoft.com/office/drawing/2014/main" id="{00000000-0008-0000-0800-0000F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1" name="Text Box 42">
          <a:extLst>
            <a:ext uri="{FF2B5EF4-FFF2-40B4-BE49-F238E27FC236}">
              <a16:creationId xmlns:a16="http://schemas.microsoft.com/office/drawing/2014/main" id="{00000000-0008-0000-0800-0000F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2" name="Text Box 43">
          <a:extLst>
            <a:ext uri="{FF2B5EF4-FFF2-40B4-BE49-F238E27FC236}">
              <a16:creationId xmlns:a16="http://schemas.microsoft.com/office/drawing/2014/main" id="{00000000-0008-0000-0800-0000F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3" name="Text Box 44">
          <a:extLst>
            <a:ext uri="{FF2B5EF4-FFF2-40B4-BE49-F238E27FC236}">
              <a16:creationId xmlns:a16="http://schemas.microsoft.com/office/drawing/2014/main" id="{00000000-0008-0000-0800-0000F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4" name="Text Box 45">
          <a:extLst>
            <a:ext uri="{FF2B5EF4-FFF2-40B4-BE49-F238E27FC236}">
              <a16:creationId xmlns:a16="http://schemas.microsoft.com/office/drawing/2014/main" id="{00000000-0008-0000-0800-0000F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5" name="Text Box 46">
          <a:extLst>
            <a:ext uri="{FF2B5EF4-FFF2-40B4-BE49-F238E27FC236}">
              <a16:creationId xmlns:a16="http://schemas.microsoft.com/office/drawing/2014/main" id="{00000000-0008-0000-0800-0000F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6" name="Text Box 47">
          <a:extLst>
            <a:ext uri="{FF2B5EF4-FFF2-40B4-BE49-F238E27FC236}">
              <a16:creationId xmlns:a16="http://schemas.microsoft.com/office/drawing/2014/main" id="{00000000-0008-0000-0800-0000F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7" name="Text Box 48">
          <a:extLst>
            <a:ext uri="{FF2B5EF4-FFF2-40B4-BE49-F238E27FC236}">
              <a16:creationId xmlns:a16="http://schemas.microsoft.com/office/drawing/2014/main" id="{00000000-0008-0000-0800-0000F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8" name="Text Box 49">
          <a:extLst>
            <a:ext uri="{FF2B5EF4-FFF2-40B4-BE49-F238E27FC236}">
              <a16:creationId xmlns:a16="http://schemas.microsoft.com/office/drawing/2014/main" id="{00000000-0008-0000-0800-0000F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9" name="Text Box 50">
          <a:extLst>
            <a:ext uri="{FF2B5EF4-FFF2-40B4-BE49-F238E27FC236}">
              <a16:creationId xmlns:a16="http://schemas.microsoft.com/office/drawing/2014/main" id="{00000000-0008-0000-0800-0000F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0" name="Text Box 51">
          <a:extLst>
            <a:ext uri="{FF2B5EF4-FFF2-40B4-BE49-F238E27FC236}">
              <a16:creationId xmlns:a16="http://schemas.microsoft.com/office/drawing/2014/main" id="{00000000-0008-0000-0800-0000F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1" name="Text Box 52">
          <a:extLst>
            <a:ext uri="{FF2B5EF4-FFF2-40B4-BE49-F238E27FC236}">
              <a16:creationId xmlns:a16="http://schemas.microsoft.com/office/drawing/2014/main" id="{00000000-0008-0000-0800-0000F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2" name="Text Box 53">
          <a:extLst>
            <a:ext uri="{FF2B5EF4-FFF2-40B4-BE49-F238E27FC236}">
              <a16:creationId xmlns:a16="http://schemas.microsoft.com/office/drawing/2014/main" id="{00000000-0008-0000-0800-0000F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3" name="Text Box 54">
          <a:extLst>
            <a:ext uri="{FF2B5EF4-FFF2-40B4-BE49-F238E27FC236}">
              <a16:creationId xmlns:a16="http://schemas.microsoft.com/office/drawing/2014/main" id="{00000000-0008-0000-0800-0000F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4" name="Text Box 55">
          <a:extLst>
            <a:ext uri="{FF2B5EF4-FFF2-40B4-BE49-F238E27FC236}">
              <a16:creationId xmlns:a16="http://schemas.microsoft.com/office/drawing/2014/main" id="{00000000-0008-0000-0800-0000F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5" name="Text Box 56">
          <a:extLst>
            <a:ext uri="{FF2B5EF4-FFF2-40B4-BE49-F238E27FC236}">
              <a16:creationId xmlns:a16="http://schemas.microsoft.com/office/drawing/2014/main" id="{00000000-0008-0000-0800-0000F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6" name="Text Box 57">
          <a:extLst>
            <a:ext uri="{FF2B5EF4-FFF2-40B4-BE49-F238E27FC236}">
              <a16:creationId xmlns:a16="http://schemas.microsoft.com/office/drawing/2014/main" id="{00000000-0008-0000-0800-00000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7" name="Text Box 58">
          <a:extLst>
            <a:ext uri="{FF2B5EF4-FFF2-40B4-BE49-F238E27FC236}">
              <a16:creationId xmlns:a16="http://schemas.microsoft.com/office/drawing/2014/main" id="{00000000-0008-0000-0800-00000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8" name="Text Box 59">
          <a:extLst>
            <a:ext uri="{FF2B5EF4-FFF2-40B4-BE49-F238E27FC236}">
              <a16:creationId xmlns:a16="http://schemas.microsoft.com/office/drawing/2014/main" id="{00000000-0008-0000-0800-00000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9" name="Text Box 60">
          <a:extLst>
            <a:ext uri="{FF2B5EF4-FFF2-40B4-BE49-F238E27FC236}">
              <a16:creationId xmlns:a16="http://schemas.microsoft.com/office/drawing/2014/main" id="{00000000-0008-0000-0800-00000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0" name="Text Box 61">
          <a:extLst>
            <a:ext uri="{FF2B5EF4-FFF2-40B4-BE49-F238E27FC236}">
              <a16:creationId xmlns:a16="http://schemas.microsoft.com/office/drawing/2014/main" id="{00000000-0008-0000-0800-00000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1" name="Text Box 62">
          <a:extLst>
            <a:ext uri="{FF2B5EF4-FFF2-40B4-BE49-F238E27FC236}">
              <a16:creationId xmlns:a16="http://schemas.microsoft.com/office/drawing/2014/main" id="{00000000-0008-0000-0800-00000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2" name="Text Box 63">
          <a:extLst>
            <a:ext uri="{FF2B5EF4-FFF2-40B4-BE49-F238E27FC236}">
              <a16:creationId xmlns:a16="http://schemas.microsoft.com/office/drawing/2014/main" id="{00000000-0008-0000-0800-00000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3" name="Text Box 64">
          <a:extLst>
            <a:ext uri="{FF2B5EF4-FFF2-40B4-BE49-F238E27FC236}">
              <a16:creationId xmlns:a16="http://schemas.microsoft.com/office/drawing/2014/main" id="{00000000-0008-0000-0800-00000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4" name="Text Box 65">
          <a:extLst>
            <a:ext uri="{FF2B5EF4-FFF2-40B4-BE49-F238E27FC236}">
              <a16:creationId xmlns:a16="http://schemas.microsoft.com/office/drawing/2014/main" id="{00000000-0008-0000-0800-00000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5" name="Text Box 66">
          <a:extLst>
            <a:ext uri="{FF2B5EF4-FFF2-40B4-BE49-F238E27FC236}">
              <a16:creationId xmlns:a16="http://schemas.microsoft.com/office/drawing/2014/main" id="{00000000-0008-0000-0800-00000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6" name="Text Box 67">
          <a:extLst>
            <a:ext uri="{FF2B5EF4-FFF2-40B4-BE49-F238E27FC236}">
              <a16:creationId xmlns:a16="http://schemas.microsoft.com/office/drawing/2014/main" id="{00000000-0008-0000-0800-00000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7" name="Text Box 68">
          <a:extLst>
            <a:ext uri="{FF2B5EF4-FFF2-40B4-BE49-F238E27FC236}">
              <a16:creationId xmlns:a16="http://schemas.microsoft.com/office/drawing/2014/main" id="{00000000-0008-0000-0800-00000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8" name="Text Box 69">
          <a:extLst>
            <a:ext uri="{FF2B5EF4-FFF2-40B4-BE49-F238E27FC236}">
              <a16:creationId xmlns:a16="http://schemas.microsoft.com/office/drawing/2014/main" id="{00000000-0008-0000-0800-00000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9" name="Text Box 70">
          <a:extLst>
            <a:ext uri="{FF2B5EF4-FFF2-40B4-BE49-F238E27FC236}">
              <a16:creationId xmlns:a16="http://schemas.microsoft.com/office/drawing/2014/main" id="{00000000-0008-0000-0800-00000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0" name="Text Box 71">
          <a:extLst>
            <a:ext uri="{FF2B5EF4-FFF2-40B4-BE49-F238E27FC236}">
              <a16:creationId xmlns:a16="http://schemas.microsoft.com/office/drawing/2014/main" id="{00000000-0008-0000-0800-00000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1" name="Text Box 72">
          <a:extLst>
            <a:ext uri="{FF2B5EF4-FFF2-40B4-BE49-F238E27FC236}">
              <a16:creationId xmlns:a16="http://schemas.microsoft.com/office/drawing/2014/main" id="{00000000-0008-0000-0800-00000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2" name="Text Box 73">
          <a:extLst>
            <a:ext uri="{FF2B5EF4-FFF2-40B4-BE49-F238E27FC236}">
              <a16:creationId xmlns:a16="http://schemas.microsoft.com/office/drawing/2014/main" id="{00000000-0008-0000-0800-00001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3" name="Text Box 74">
          <a:extLst>
            <a:ext uri="{FF2B5EF4-FFF2-40B4-BE49-F238E27FC236}">
              <a16:creationId xmlns:a16="http://schemas.microsoft.com/office/drawing/2014/main" id="{00000000-0008-0000-0800-00001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4" name="Text Box 75">
          <a:extLst>
            <a:ext uri="{FF2B5EF4-FFF2-40B4-BE49-F238E27FC236}">
              <a16:creationId xmlns:a16="http://schemas.microsoft.com/office/drawing/2014/main" id="{00000000-0008-0000-0800-00001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5" name="Text Box 76">
          <a:extLst>
            <a:ext uri="{FF2B5EF4-FFF2-40B4-BE49-F238E27FC236}">
              <a16:creationId xmlns:a16="http://schemas.microsoft.com/office/drawing/2014/main" id="{00000000-0008-0000-0800-00001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6" name="Text Box 77">
          <a:extLst>
            <a:ext uri="{FF2B5EF4-FFF2-40B4-BE49-F238E27FC236}">
              <a16:creationId xmlns:a16="http://schemas.microsoft.com/office/drawing/2014/main" id="{00000000-0008-0000-0800-00001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7" name="Text Box 78">
          <a:extLst>
            <a:ext uri="{FF2B5EF4-FFF2-40B4-BE49-F238E27FC236}">
              <a16:creationId xmlns:a16="http://schemas.microsoft.com/office/drawing/2014/main" id="{00000000-0008-0000-0800-00001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8" name="Text Box 79">
          <a:extLst>
            <a:ext uri="{FF2B5EF4-FFF2-40B4-BE49-F238E27FC236}">
              <a16:creationId xmlns:a16="http://schemas.microsoft.com/office/drawing/2014/main" id="{00000000-0008-0000-0800-00001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9" name="Text Box 80">
          <a:extLst>
            <a:ext uri="{FF2B5EF4-FFF2-40B4-BE49-F238E27FC236}">
              <a16:creationId xmlns:a16="http://schemas.microsoft.com/office/drawing/2014/main" id="{00000000-0008-0000-0800-00001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0" name="Text Box 81">
          <a:extLst>
            <a:ext uri="{FF2B5EF4-FFF2-40B4-BE49-F238E27FC236}">
              <a16:creationId xmlns:a16="http://schemas.microsoft.com/office/drawing/2014/main" id="{00000000-0008-0000-0800-00001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1" name="Text Box 82">
          <a:extLst>
            <a:ext uri="{FF2B5EF4-FFF2-40B4-BE49-F238E27FC236}">
              <a16:creationId xmlns:a16="http://schemas.microsoft.com/office/drawing/2014/main" id="{00000000-0008-0000-0800-00001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2" name="Text Box 83">
          <a:extLst>
            <a:ext uri="{FF2B5EF4-FFF2-40B4-BE49-F238E27FC236}">
              <a16:creationId xmlns:a16="http://schemas.microsoft.com/office/drawing/2014/main" id="{00000000-0008-0000-0800-00001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3" name="Text Box 84">
          <a:extLst>
            <a:ext uri="{FF2B5EF4-FFF2-40B4-BE49-F238E27FC236}">
              <a16:creationId xmlns:a16="http://schemas.microsoft.com/office/drawing/2014/main" id="{00000000-0008-0000-0800-00001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4" name="Text Box 85">
          <a:extLst>
            <a:ext uri="{FF2B5EF4-FFF2-40B4-BE49-F238E27FC236}">
              <a16:creationId xmlns:a16="http://schemas.microsoft.com/office/drawing/2014/main" id="{00000000-0008-0000-0800-00001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5" name="Text Box 86">
          <a:extLst>
            <a:ext uri="{FF2B5EF4-FFF2-40B4-BE49-F238E27FC236}">
              <a16:creationId xmlns:a16="http://schemas.microsoft.com/office/drawing/2014/main" id="{00000000-0008-0000-0800-00001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6" name="Text Box 87">
          <a:extLst>
            <a:ext uri="{FF2B5EF4-FFF2-40B4-BE49-F238E27FC236}">
              <a16:creationId xmlns:a16="http://schemas.microsoft.com/office/drawing/2014/main" id="{00000000-0008-0000-0800-00001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7" name="Text Box 88">
          <a:extLst>
            <a:ext uri="{FF2B5EF4-FFF2-40B4-BE49-F238E27FC236}">
              <a16:creationId xmlns:a16="http://schemas.microsoft.com/office/drawing/2014/main" id="{00000000-0008-0000-0800-00001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8" name="Text Box 89">
          <a:extLst>
            <a:ext uri="{FF2B5EF4-FFF2-40B4-BE49-F238E27FC236}">
              <a16:creationId xmlns:a16="http://schemas.microsoft.com/office/drawing/2014/main" id="{00000000-0008-0000-0800-00002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9" name="Text Box 90">
          <a:extLst>
            <a:ext uri="{FF2B5EF4-FFF2-40B4-BE49-F238E27FC236}">
              <a16:creationId xmlns:a16="http://schemas.microsoft.com/office/drawing/2014/main" id="{00000000-0008-0000-0800-00002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0" name="Text Box 91">
          <a:extLst>
            <a:ext uri="{FF2B5EF4-FFF2-40B4-BE49-F238E27FC236}">
              <a16:creationId xmlns:a16="http://schemas.microsoft.com/office/drawing/2014/main" id="{00000000-0008-0000-0800-00002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1" name="Text Box 92">
          <a:extLst>
            <a:ext uri="{FF2B5EF4-FFF2-40B4-BE49-F238E27FC236}">
              <a16:creationId xmlns:a16="http://schemas.microsoft.com/office/drawing/2014/main" id="{00000000-0008-0000-0800-00002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2" name="Text Box 93">
          <a:extLst>
            <a:ext uri="{FF2B5EF4-FFF2-40B4-BE49-F238E27FC236}">
              <a16:creationId xmlns:a16="http://schemas.microsoft.com/office/drawing/2014/main" id="{00000000-0008-0000-0800-00002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3" name="Text Box 94">
          <a:extLst>
            <a:ext uri="{FF2B5EF4-FFF2-40B4-BE49-F238E27FC236}">
              <a16:creationId xmlns:a16="http://schemas.microsoft.com/office/drawing/2014/main" id="{00000000-0008-0000-0800-00002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4" name="Text Box 95">
          <a:extLst>
            <a:ext uri="{FF2B5EF4-FFF2-40B4-BE49-F238E27FC236}">
              <a16:creationId xmlns:a16="http://schemas.microsoft.com/office/drawing/2014/main" id="{00000000-0008-0000-0800-00002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5" name="Text Box 96">
          <a:extLst>
            <a:ext uri="{FF2B5EF4-FFF2-40B4-BE49-F238E27FC236}">
              <a16:creationId xmlns:a16="http://schemas.microsoft.com/office/drawing/2014/main" id="{00000000-0008-0000-0800-00002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6" name="Text Box 97">
          <a:extLst>
            <a:ext uri="{FF2B5EF4-FFF2-40B4-BE49-F238E27FC236}">
              <a16:creationId xmlns:a16="http://schemas.microsoft.com/office/drawing/2014/main" id="{00000000-0008-0000-0800-00002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7" name="Text Box 100">
          <a:extLst>
            <a:ext uri="{FF2B5EF4-FFF2-40B4-BE49-F238E27FC236}">
              <a16:creationId xmlns:a16="http://schemas.microsoft.com/office/drawing/2014/main" id="{00000000-0008-0000-0800-00002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8" name="Text Box 101">
          <a:extLst>
            <a:ext uri="{FF2B5EF4-FFF2-40B4-BE49-F238E27FC236}">
              <a16:creationId xmlns:a16="http://schemas.microsoft.com/office/drawing/2014/main" id="{00000000-0008-0000-0800-00002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9" name="Text Box 102">
          <a:extLst>
            <a:ext uri="{FF2B5EF4-FFF2-40B4-BE49-F238E27FC236}">
              <a16:creationId xmlns:a16="http://schemas.microsoft.com/office/drawing/2014/main" id="{00000000-0008-0000-0800-00002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0" name="Text Box 103">
          <a:extLst>
            <a:ext uri="{FF2B5EF4-FFF2-40B4-BE49-F238E27FC236}">
              <a16:creationId xmlns:a16="http://schemas.microsoft.com/office/drawing/2014/main" id="{00000000-0008-0000-0800-00002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1" name="Text Box 104">
          <a:extLst>
            <a:ext uri="{FF2B5EF4-FFF2-40B4-BE49-F238E27FC236}">
              <a16:creationId xmlns:a16="http://schemas.microsoft.com/office/drawing/2014/main" id="{00000000-0008-0000-0800-00002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2" name="Text Box 105">
          <a:extLst>
            <a:ext uri="{FF2B5EF4-FFF2-40B4-BE49-F238E27FC236}">
              <a16:creationId xmlns:a16="http://schemas.microsoft.com/office/drawing/2014/main" id="{00000000-0008-0000-0800-00002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3" name="Text Box 106">
          <a:extLst>
            <a:ext uri="{FF2B5EF4-FFF2-40B4-BE49-F238E27FC236}">
              <a16:creationId xmlns:a16="http://schemas.microsoft.com/office/drawing/2014/main" id="{00000000-0008-0000-0800-00002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4" name="Text Box 107">
          <a:extLst>
            <a:ext uri="{FF2B5EF4-FFF2-40B4-BE49-F238E27FC236}">
              <a16:creationId xmlns:a16="http://schemas.microsoft.com/office/drawing/2014/main" id="{00000000-0008-0000-0800-00003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5" name="Text Box 108">
          <a:extLst>
            <a:ext uri="{FF2B5EF4-FFF2-40B4-BE49-F238E27FC236}">
              <a16:creationId xmlns:a16="http://schemas.microsoft.com/office/drawing/2014/main" id="{00000000-0008-0000-0800-00003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6" name="Text Box 109">
          <a:extLst>
            <a:ext uri="{FF2B5EF4-FFF2-40B4-BE49-F238E27FC236}">
              <a16:creationId xmlns:a16="http://schemas.microsoft.com/office/drawing/2014/main" id="{00000000-0008-0000-0800-00003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7" name="Text Box 110">
          <a:extLst>
            <a:ext uri="{FF2B5EF4-FFF2-40B4-BE49-F238E27FC236}">
              <a16:creationId xmlns:a16="http://schemas.microsoft.com/office/drawing/2014/main" id="{00000000-0008-0000-0800-00003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8" name="Text Box 111">
          <a:extLst>
            <a:ext uri="{FF2B5EF4-FFF2-40B4-BE49-F238E27FC236}">
              <a16:creationId xmlns:a16="http://schemas.microsoft.com/office/drawing/2014/main" id="{00000000-0008-0000-0800-00003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9" name="Text Box 119">
          <a:extLst>
            <a:ext uri="{FF2B5EF4-FFF2-40B4-BE49-F238E27FC236}">
              <a16:creationId xmlns:a16="http://schemas.microsoft.com/office/drawing/2014/main" id="{00000000-0008-0000-0800-00003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0" name="Text Box 120">
          <a:extLst>
            <a:ext uri="{FF2B5EF4-FFF2-40B4-BE49-F238E27FC236}">
              <a16:creationId xmlns:a16="http://schemas.microsoft.com/office/drawing/2014/main" id="{00000000-0008-0000-0800-00003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1" name="Text Box 121">
          <a:extLst>
            <a:ext uri="{FF2B5EF4-FFF2-40B4-BE49-F238E27FC236}">
              <a16:creationId xmlns:a16="http://schemas.microsoft.com/office/drawing/2014/main" id="{00000000-0008-0000-0800-00003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2" name="Text Box 122">
          <a:extLst>
            <a:ext uri="{FF2B5EF4-FFF2-40B4-BE49-F238E27FC236}">
              <a16:creationId xmlns:a16="http://schemas.microsoft.com/office/drawing/2014/main" id="{00000000-0008-0000-0800-00003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3" name="Text Box 123">
          <a:extLst>
            <a:ext uri="{FF2B5EF4-FFF2-40B4-BE49-F238E27FC236}">
              <a16:creationId xmlns:a16="http://schemas.microsoft.com/office/drawing/2014/main" id="{00000000-0008-0000-0800-00003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4" name="Text Box 124">
          <a:extLst>
            <a:ext uri="{FF2B5EF4-FFF2-40B4-BE49-F238E27FC236}">
              <a16:creationId xmlns:a16="http://schemas.microsoft.com/office/drawing/2014/main" id="{00000000-0008-0000-0800-00003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5" name="Text Box 125">
          <a:extLst>
            <a:ext uri="{FF2B5EF4-FFF2-40B4-BE49-F238E27FC236}">
              <a16:creationId xmlns:a16="http://schemas.microsoft.com/office/drawing/2014/main" id="{00000000-0008-0000-0800-00003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6" name="Text Box 126">
          <a:extLst>
            <a:ext uri="{FF2B5EF4-FFF2-40B4-BE49-F238E27FC236}">
              <a16:creationId xmlns:a16="http://schemas.microsoft.com/office/drawing/2014/main" id="{00000000-0008-0000-0800-00003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7" name="Text Box 127">
          <a:extLst>
            <a:ext uri="{FF2B5EF4-FFF2-40B4-BE49-F238E27FC236}">
              <a16:creationId xmlns:a16="http://schemas.microsoft.com/office/drawing/2014/main" id="{00000000-0008-0000-0800-00003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8" name="Text Box 128">
          <a:extLst>
            <a:ext uri="{FF2B5EF4-FFF2-40B4-BE49-F238E27FC236}">
              <a16:creationId xmlns:a16="http://schemas.microsoft.com/office/drawing/2014/main" id="{00000000-0008-0000-0800-00003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9" name="Text Box 129">
          <a:extLst>
            <a:ext uri="{FF2B5EF4-FFF2-40B4-BE49-F238E27FC236}">
              <a16:creationId xmlns:a16="http://schemas.microsoft.com/office/drawing/2014/main" id="{00000000-0008-0000-0800-00003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40" name="Text Box 130">
          <a:extLst>
            <a:ext uri="{FF2B5EF4-FFF2-40B4-BE49-F238E27FC236}">
              <a16:creationId xmlns:a16="http://schemas.microsoft.com/office/drawing/2014/main" id="{00000000-0008-0000-0800-00004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1" name="Text Box 133">
          <a:extLst>
            <a:ext uri="{FF2B5EF4-FFF2-40B4-BE49-F238E27FC236}">
              <a16:creationId xmlns:a16="http://schemas.microsoft.com/office/drawing/2014/main" id="{00000000-0008-0000-0800-00004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2" name="Text Box 134">
          <a:extLst>
            <a:ext uri="{FF2B5EF4-FFF2-40B4-BE49-F238E27FC236}">
              <a16:creationId xmlns:a16="http://schemas.microsoft.com/office/drawing/2014/main" id="{00000000-0008-0000-0800-00004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3" name="Text Box 135">
          <a:extLst>
            <a:ext uri="{FF2B5EF4-FFF2-40B4-BE49-F238E27FC236}">
              <a16:creationId xmlns:a16="http://schemas.microsoft.com/office/drawing/2014/main" id="{00000000-0008-0000-0800-00004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4" name="Text Box 136">
          <a:extLst>
            <a:ext uri="{FF2B5EF4-FFF2-40B4-BE49-F238E27FC236}">
              <a16:creationId xmlns:a16="http://schemas.microsoft.com/office/drawing/2014/main" id="{00000000-0008-0000-0800-00004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5" name="Text Box 137">
          <a:extLst>
            <a:ext uri="{FF2B5EF4-FFF2-40B4-BE49-F238E27FC236}">
              <a16:creationId xmlns:a16="http://schemas.microsoft.com/office/drawing/2014/main" id="{00000000-0008-0000-0800-00004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6" name="Text Box 138">
          <a:extLst>
            <a:ext uri="{FF2B5EF4-FFF2-40B4-BE49-F238E27FC236}">
              <a16:creationId xmlns:a16="http://schemas.microsoft.com/office/drawing/2014/main" id="{00000000-0008-0000-0800-00004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7" name="Text Box 139">
          <a:extLst>
            <a:ext uri="{FF2B5EF4-FFF2-40B4-BE49-F238E27FC236}">
              <a16:creationId xmlns:a16="http://schemas.microsoft.com/office/drawing/2014/main" id="{00000000-0008-0000-0800-00004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8" name="Text Box 140">
          <a:extLst>
            <a:ext uri="{FF2B5EF4-FFF2-40B4-BE49-F238E27FC236}">
              <a16:creationId xmlns:a16="http://schemas.microsoft.com/office/drawing/2014/main" id="{00000000-0008-0000-0800-00004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9" name="Text Box 141">
          <a:extLst>
            <a:ext uri="{FF2B5EF4-FFF2-40B4-BE49-F238E27FC236}">
              <a16:creationId xmlns:a16="http://schemas.microsoft.com/office/drawing/2014/main" id="{00000000-0008-0000-0800-00004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0" name="Text Box 142">
          <a:extLst>
            <a:ext uri="{FF2B5EF4-FFF2-40B4-BE49-F238E27FC236}">
              <a16:creationId xmlns:a16="http://schemas.microsoft.com/office/drawing/2014/main" id="{00000000-0008-0000-0800-00004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1" name="Text Box 143">
          <a:extLst>
            <a:ext uri="{FF2B5EF4-FFF2-40B4-BE49-F238E27FC236}">
              <a16:creationId xmlns:a16="http://schemas.microsoft.com/office/drawing/2014/main" id="{00000000-0008-0000-0800-00004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2" name="Text Box 144">
          <a:extLst>
            <a:ext uri="{FF2B5EF4-FFF2-40B4-BE49-F238E27FC236}">
              <a16:creationId xmlns:a16="http://schemas.microsoft.com/office/drawing/2014/main" id="{00000000-0008-0000-0800-00004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3" name="Text Box 145">
          <a:extLst>
            <a:ext uri="{FF2B5EF4-FFF2-40B4-BE49-F238E27FC236}">
              <a16:creationId xmlns:a16="http://schemas.microsoft.com/office/drawing/2014/main" id="{00000000-0008-0000-0800-00004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4" name="Text Box 146">
          <a:extLst>
            <a:ext uri="{FF2B5EF4-FFF2-40B4-BE49-F238E27FC236}">
              <a16:creationId xmlns:a16="http://schemas.microsoft.com/office/drawing/2014/main" id="{00000000-0008-0000-0800-00004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5" name="Text Box 147">
          <a:extLst>
            <a:ext uri="{FF2B5EF4-FFF2-40B4-BE49-F238E27FC236}">
              <a16:creationId xmlns:a16="http://schemas.microsoft.com/office/drawing/2014/main" id="{00000000-0008-0000-0800-00004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6" name="Text Box 148">
          <a:extLst>
            <a:ext uri="{FF2B5EF4-FFF2-40B4-BE49-F238E27FC236}">
              <a16:creationId xmlns:a16="http://schemas.microsoft.com/office/drawing/2014/main" id="{00000000-0008-0000-0800-00005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7" name="Text Box 149">
          <a:extLst>
            <a:ext uri="{FF2B5EF4-FFF2-40B4-BE49-F238E27FC236}">
              <a16:creationId xmlns:a16="http://schemas.microsoft.com/office/drawing/2014/main" id="{00000000-0008-0000-0800-00005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8" name="Text Box 150">
          <a:extLst>
            <a:ext uri="{FF2B5EF4-FFF2-40B4-BE49-F238E27FC236}">
              <a16:creationId xmlns:a16="http://schemas.microsoft.com/office/drawing/2014/main" id="{00000000-0008-0000-0800-00005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9" name="Text Box 151">
          <a:extLst>
            <a:ext uri="{FF2B5EF4-FFF2-40B4-BE49-F238E27FC236}">
              <a16:creationId xmlns:a16="http://schemas.microsoft.com/office/drawing/2014/main" id="{00000000-0008-0000-0800-00005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0" name="Text Box 152">
          <a:extLst>
            <a:ext uri="{FF2B5EF4-FFF2-40B4-BE49-F238E27FC236}">
              <a16:creationId xmlns:a16="http://schemas.microsoft.com/office/drawing/2014/main" id="{00000000-0008-0000-0800-00005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1" name="Text Box 153">
          <a:extLst>
            <a:ext uri="{FF2B5EF4-FFF2-40B4-BE49-F238E27FC236}">
              <a16:creationId xmlns:a16="http://schemas.microsoft.com/office/drawing/2014/main" id="{00000000-0008-0000-0800-00005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2" name="Text Box 154">
          <a:extLst>
            <a:ext uri="{FF2B5EF4-FFF2-40B4-BE49-F238E27FC236}">
              <a16:creationId xmlns:a16="http://schemas.microsoft.com/office/drawing/2014/main" id="{00000000-0008-0000-0800-00005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3" name="Text Box 155">
          <a:extLst>
            <a:ext uri="{FF2B5EF4-FFF2-40B4-BE49-F238E27FC236}">
              <a16:creationId xmlns:a16="http://schemas.microsoft.com/office/drawing/2014/main" id="{00000000-0008-0000-0800-00005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4" name="Text Box 156">
          <a:extLst>
            <a:ext uri="{FF2B5EF4-FFF2-40B4-BE49-F238E27FC236}">
              <a16:creationId xmlns:a16="http://schemas.microsoft.com/office/drawing/2014/main" id="{00000000-0008-0000-0800-00005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5" name="Text Box 157">
          <a:extLst>
            <a:ext uri="{FF2B5EF4-FFF2-40B4-BE49-F238E27FC236}">
              <a16:creationId xmlns:a16="http://schemas.microsoft.com/office/drawing/2014/main" id="{00000000-0008-0000-0800-00005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6" name="Text Box 158">
          <a:extLst>
            <a:ext uri="{FF2B5EF4-FFF2-40B4-BE49-F238E27FC236}">
              <a16:creationId xmlns:a16="http://schemas.microsoft.com/office/drawing/2014/main" id="{00000000-0008-0000-0800-00005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7" name="Text Box 159">
          <a:extLst>
            <a:ext uri="{FF2B5EF4-FFF2-40B4-BE49-F238E27FC236}">
              <a16:creationId xmlns:a16="http://schemas.microsoft.com/office/drawing/2014/main" id="{00000000-0008-0000-0800-00005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8" name="Text Box 160">
          <a:extLst>
            <a:ext uri="{FF2B5EF4-FFF2-40B4-BE49-F238E27FC236}">
              <a16:creationId xmlns:a16="http://schemas.microsoft.com/office/drawing/2014/main" id="{00000000-0008-0000-0800-00005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9" name="Text Box 161">
          <a:extLst>
            <a:ext uri="{FF2B5EF4-FFF2-40B4-BE49-F238E27FC236}">
              <a16:creationId xmlns:a16="http://schemas.microsoft.com/office/drawing/2014/main" id="{00000000-0008-0000-0800-00005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0" name="Text Box 162">
          <a:extLst>
            <a:ext uri="{FF2B5EF4-FFF2-40B4-BE49-F238E27FC236}">
              <a16:creationId xmlns:a16="http://schemas.microsoft.com/office/drawing/2014/main" id="{00000000-0008-0000-0800-00005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1" name="Text Box 163">
          <a:extLst>
            <a:ext uri="{FF2B5EF4-FFF2-40B4-BE49-F238E27FC236}">
              <a16:creationId xmlns:a16="http://schemas.microsoft.com/office/drawing/2014/main" id="{00000000-0008-0000-0800-00005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2" name="Text Box 164">
          <a:extLst>
            <a:ext uri="{FF2B5EF4-FFF2-40B4-BE49-F238E27FC236}">
              <a16:creationId xmlns:a16="http://schemas.microsoft.com/office/drawing/2014/main" id="{00000000-0008-0000-0800-00006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3" name="Text Box 165">
          <a:extLst>
            <a:ext uri="{FF2B5EF4-FFF2-40B4-BE49-F238E27FC236}">
              <a16:creationId xmlns:a16="http://schemas.microsoft.com/office/drawing/2014/main" id="{00000000-0008-0000-0800-00006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4" name="Text Box 166">
          <a:extLst>
            <a:ext uri="{FF2B5EF4-FFF2-40B4-BE49-F238E27FC236}">
              <a16:creationId xmlns:a16="http://schemas.microsoft.com/office/drawing/2014/main" id="{00000000-0008-0000-0800-00006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5" name="Text Box 167">
          <a:extLst>
            <a:ext uri="{FF2B5EF4-FFF2-40B4-BE49-F238E27FC236}">
              <a16:creationId xmlns:a16="http://schemas.microsoft.com/office/drawing/2014/main" id="{00000000-0008-0000-0800-00006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6" name="Text Box 168">
          <a:extLst>
            <a:ext uri="{FF2B5EF4-FFF2-40B4-BE49-F238E27FC236}">
              <a16:creationId xmlns:a16="http://schemas.microsoft.com/office/drawing/2014/main" id="{00000000-0008-0000-0800-00006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7" name="Text Box 169">
          <a:extLst>
            <a:ext uri="{FF2B5EF4-FFF2-40B4-BE49-F238E27FC236}">
              <a16:creationId xmlns:a16="http://schemas.microsoft.com/office/drawing/2014/main" id="{00000000-0008-0000-0800-00006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8" name="Text Box 170">
          <a:extLst>
            <a:ext uri="{FF2B5EF4-FFF2-40B4-BE49-F238E27FC236}">
              <a16:creationId xmlns:a16="http://schemas.microsoft.com/office/drawing/2014/main" id="{00000000-0008-0000-0800-00006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9" name="Text Box 171">
          <a:extLst>
            <a:ext uri="{FF2B5EF4-FFF2-40B4-BE49-F238E27FC236}">
              <a16:creationId xmlns:a16="http://schemas.microsoft.com/office/drawing/2014/main" id="{00000000-0008-0000-0800-00006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0" name="Text Box 172">
          <a:extLst>
            <a:ext uri="{FF2B5EF4-FFF2-40B4-BE49-F238E27FC236}">
              <a16:creationId xmlns:a16="http://schemas.microsoft.com/office/drawing/2014/main" id="{00000000-0008-0000-0800-00006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1" name="Text Box 173">
          <a:extLst>
            <a:ext uri="{FF2B5EF4-FFF2-40B4-BE49-F238E27FC236}">
              <a16:creationId xmlns:a16="http://schemas.microsoft.com/office/drawing/2014/main" id="{00000000-0008-0000-0800-00006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2" name="Text Box 174">
          <a:extLst>
            <a:ext uri="{FF2B5EF4-FFF2-40B4-BE49-F238E27FC236}">
              <a16:creationId xmlns:a16="http://schemas.microsoft.com/office/drawing/2014/main" id="{00000000-0008-0000-0800-00006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3" name="Text Box 175">
          <a:extLst>
            <a:ext uri="{FF2B5EF4-FFF2-40B4-BE49-F238E27FC236}">
              <a16:creationId xmlns:a16="http://schemas.microsoft.com/office/drawing/2014/main" id="{00000000-0008-0000-0800-00006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4" name="Text Box 176">
          <a:extLst>
            <a:ext uri="{FF2B5EF4-FFF2-40B4-BE49-F238E27FC236}">
              <a16:creationId xmlns:a16="http://schemas.microsoft.com/office/drawing/2014/main" id="{00000000-0008-0000-0800-00006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5" name="Text Box 177">
          <a:extLst>
            <a:ext uri="{FF2B5EF4-FFF2-40B4-BE49-F238E27FC236}">
              <a16:creationId xmlns:a16="http://schemas.microsoft.com/office/drawing/2014/main" id="{00000000-0008-0000-0800-00006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6" name="Text Box 178">
          <a:extLst>
            <a:ext uri="{FF2B5EF4-FFF2-40B4-BE49-F238E27FC236}">
              <a16:creationId xmlns:a16="http://schemas.microsoft.com/office/drawing/2014/main" id="{00000000-0008-0000-0800-00006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7" name="Text Box 179">
          <a:extLst>
            <a:ext uri="{FF2B5EF4-FFF2-40B4-BE49-F238E27FC236}">
              <a16:creationId xmlns:a16="http://schemas.microsoft.com/office/drawing/2014/main" id="{00000000-0008-0000-0800-00006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8" name="Text Box 180">
          <a:extLst>
            <a:ext uri="{FF2B5EF4-FFF2-40B4-BE49-F238E27FC236}">
              <a16:creationId xmlns:a16="http://schemas.microsoft.com/office/drawing/2014/main" id="{00000000-0008-0000-0800-00007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9" name="Text Box 181">
          <a:extLst>
            <a:ext uri="{FF2B5EF4-FFF2-40B4-BE49-F238E27FC236}">
              <a16:creationId xmlns:a16="http://schemas.microsoft.com/office/drawing/2014/main" id="{00000000-0008-0000-0800-00007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0" name="Text Box 182">
          <a:extLst>
            <a:ext uri="{FF2B5EF4-FFF2-40B4-BE49-F238E27FC236}">
              <a16:creationId xmlns:a16="http://schemas.microsoft.com/office/drawing/2014/main" id="{00000000-0008-0000-0800-00007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1" name="Text Box 183">
          <a:extLst>
            <a:ext uri="{FF2B5EF4-FFF2-40B4-BE49-F238E27FC236}">
              <a16:creationId xmlns:a16="http://schemas.microsoft.com/office/drawing/2014/main" id="{00000000-0008-0000-0800-00007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2" name="Text Box 184">
          <a:extLst>
            <a:ext uri="{FF2B5EF4-FFF2-40B4-BE49-F238E27FC236}">
              <a16:creationId xmlns:a16="http://schemas.microsoft.com/office/drawing/2014/main" id="{00000000-0008-0000-0800-00007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3" name="Text Box 185">
          <a:extLst>
            <a:ext uri="{FF2B5EF4-FFF2-40B4-BE49-F238E27FC236}">
              <a16:creationId xmlns:a16="http://schemas.microsoft.com/office/drawing/2014/main" id="{00000000-0008-0000-0800-00007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4" name="Text Box 186">
          <a:extLst>
            <a:ext uri="{FF2B5EF4-FFF2-40B4-BE49-F238E27FC236}">
              <a16:creationId xmlns:a16="http://schemas.microsoft.com/office/drawing/2014/main" id="{00000000-0008-0000-0800-00007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5" name="Text Box 187">
          <a:extLst>
            <a:ext uri="{FF2B5EF4-FFF2-40B4-BE49-F238E27FC236}">
              <a16:creationId xmlns:a16="http://schemas.microsoft.com/office/drawing/2014/main" id="{00000000-0008-0000-0800-00007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6" name="Text Box 188">
          <a:extLst>
            <a:ext uri="{FF2B5EF4-FFF2-40B4-BE49-F238E27FC236}">
              <a16:creationId xmlns:a16="http://schemas.microsoft.com/office/drawing/2014/main" id="{00000000-0008-0000-0800-00007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7" name="Text Box 189">
          <a:extLst>
            <a:ext uri="{FF2B5EF4-FFF2-40B4-BE49-F238E27FC236}">
              <a16:creationId xmlns:a16="http://schemas.microsoft.com/office/drawing/2014/main" id="{00000000-0008-0000-0800-00007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8" name="Text Box 190">
          <a:extLst>
            <a:ext uri="{FF2B5EF4-FFF2-40B4-BE49-F238E27FC236}">
              <a16:creationId xmlns:a16="http://schemas.microsoft.com/office/drawing/2014/main" id="{00000000-0008-0000-0800-00007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9" name="Text Box 191">
          <a:extLst>
            <a:ext uri="{FF2B5EF4-FFF2-40B4-BE49-F238E27FC236}">
              <a16:creationId xmlns:a16="http://schemas.microsoft.com/office/drawing/2014/main" id="{00000000-0008-0000-0800-00007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0" name="Text Box 192">
          <a:extLst>
            <a:ext uri="{FF2B5EF4-FFF2-40B4-BE49-F238E27FC236}">
              <a16:creationId xmlns:a16="http://schemas.microsoft.com/office/drawing/2014/main" id="{00000000-0008-0000-0800-00007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1" name="Text Box 193">
          <a:extLst>
            <a:ext uri="{FF2B5EF4-FFF2-40B4-BE49-F238E27FC236}">
              <a16:creationId xmlns:a16="http://schemas.microsoft.com/office/drawing/2014/main" id="{00000000-0008-0000-0800-00007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2" name="Text Box 194">
          <a:extLst>
            <a:ext uri="{FF2B5EF4-FFF2-40B4-BE49-F238E27FC236}">
              <a16:creationId xmlns:a16="http://schemas.microsoft.com/office/drawing/2014/main" id="{00000000-0008-0000-0800-00007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3" name="Text Box 195">
          <a:extLst>
            <a:ext uri="{FF2B5EF4-FFF2-40B4-BE49-F238E27FC236}">
              <a16:creationId xmlns:a16="http://schemas.microsoft.com/office/drawing/2014/main" id="{00000000-0008-0000-0800-00007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4" name="Text Box 196">
          <a:extLst>
            <a:ext uri="{FF2B5EF4-FFF2-40B4-BE49-F238E27FC236}">
              <a16:creationId xmlns:a16="http://schemas.microsoft.com/office/drawing/2014/main" id="{00000000-0008-0000-0800-00008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5" name="Text Box 197">
          <a:extLst>
            <a:ext uri="{FF2B5EF4-FFF2-40B4-BE49-F238E27FC236}">
              <a16:creationId xmlns:a16="http://schemas.microsoft.com/office/drawing/2014/main" id="{00000000-0008-0000-0800-00008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6" name="Text Box 198">
          <a:extLst>
            <a:ext uri="{FF2B5EF4-FFF2-40B4-BE49-F238E27FC236}">
              <a16:creationId xmlns:a16="http://schemas.microsoft.com/office/drawing/2014/main" id="{00000000-0008-0000-0800-00008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7" name="Text Box 199">
          <a:extLst>
            <a:ext uri="{FF2B5EF4-FFF2-40B4-BE49-F238E27FC236}">
              <a16:creationId xmlns:a16="http://schemas.microsoft.com/office/drawing/2014/main" id="{00000000-0008-0000-0800-00008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8" name="Text Box 200">
          <a:extLst>
            <a:ext uri="{FF2B5EF4-FFF2-40B4-BE49-F238E27FC236}">
              <a16:creationId xmlns:a16="http://schemas.microsoft.com/office/drawing/2014/main" id="{00000000-0008-0000-0800-00008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9" name="Text Box 201">
          <a:extLst>
            <a:ext uri="{FF2B5EF4-FFF2-40B4-BE49-F238E27FC236}">
              <a16:creationId xmlns:a16="http://schemas.microsoft.com/office/drawing/2014/main" id="{00000000-0008-0000-0800-00008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10" name="Text Box 202">
          <a:extLst>
            <a:ext uri="{FF2B5EF4-FFF2-40B4-BE49-F238E27FC236}">
              <a16:creationId xmlns:a16="http://schemas.microsoft.com/office/drawing/2014/main" id="{00000000-0008-0000-0800-00008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1" name="Text Box 203">
          <a:extLst>
            <a:ext uri="{FF2B5EF4-FFF2-40B4-BE49-F238E27FC236}">
              <a16:creationId xmlns:a16="http://schemas.microsoft.com/office/drawing/2014/main" id="{00000000-0008-0000-0800-00008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2" name="Text Box 204">
          <a:extLst>
            <a:ext uri="{FF2B5EF4-FFF2-40B4-BE49-F238E27FC236}">
              <a16:creationId xmlns:a16="http://schemas.microsoft.com/office/drawing/2014/main" id="{00000000-0008-0000-0800-00008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3" name="Text Box 205">
          <a:extLst>
            <a:ext uri="{FF2B5EF4-FFF2-40B4-BE49-F238E27FC236}">
              <a16:creationId xmlns:a16="http://schemas.microsoft.com/office/drawing/2014/main" id="{00000000-0008-0000-0800-00008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4" name="Text Box 206">
          <a:extLst>
            <a:ext uri="{FF2B5EF4-FFF2-40B4-BE49-F238E27FC236}">
              <a16:creationId xmlns:a16="http://schemas.microsoft.com/office/drawing/2014/main" id="{00000000-0008-0000-0800-00008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5" name="Text Box 207">
          <a:extLst>
            <a:ext uri="{FF2B5EF4-FFF2-40B4-BE49-F238E27FC236}">
              <a16:creationId xmlns:a16="http://schemas.microsoft.com/office/drawing/2014/main" id="{00000000-0008-0000-0800-00008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6" name="Text Box 208">
          <a:extLst>
            <a:ext uri="{FF2B5EF4-FFF2-40B4-BE49-F238E27FC236}">
              <a16:creationId xmlns:a16="http://schemas.microsoft.com/office/drawing/2014/main" id="{00000000-0008-0000-0800-00008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7" name="Text Box 209">
          <a:extLst>
            <a:ext uri="{FF2B5EF4-FFF2-40B4-BE49-F238E27FC236}">
              <a16:creationId xmlns:a16="http://schemas.microsoft.com/office/drawing/2014/main" id="{00000000-0008-0000-0800-00008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8" name="Text Box 210">
          <a:extLst>
            <a:ext uri="{FF2B5EF4-FFF2-40B4-BE49-F238E27FC236}">
              <a16:creationId xmlns:a16="http://schemas.microsoft.com/office/drawing/2014/main" id="{00000000-0008-0000-0800-00008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9" name="Text Box 211">
          <a:extLst>
            <a:ext uri="{FF2B5EF4-FFF2-40B4-BE49-F238E27FC236}">
              <a16:creationId xmlns:a16="http://schemas.microsoft.com/office/drawing/2014/main" id="{00000000-0008-0000-0800-00008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0" name="Text Box 212">
          <a:extLst>
            <a:ext uri="{FF2B5EF4-FFF2-40B4-BE49-F238E27FC236}">
              <a16:creationId xmlns:a16="http://schemas.microsoft.com/office/drawing/2014/main" id="{00000000-0008-0000-0800-00009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1" name="Text Box 213">
          <a:extLst>
            <a:ext uri="{FF2B5EF4-FFF2-40B4-BE49-F238E27FC236}">
              <a16:creationId xmlns:a16="http://schemas.microsoft.com/office/drawing/2014/main" id="{00000000-0008-0000-0800-00009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2" name="Text Box 214">
          <a:extLst>
            <a:ext uri="{FF2B5EF4-FFF2-40B4-BE49-F238E27FC236}">
              <a16:creationId xmlns:a16="http://schemas.microsoft.com/office/drawing/2014/main" id="{00000000-0008-0000-0800-00009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3" name="Text Box 215">
          <a:extLst>
            <a:ext uri="{FF2B5EF4-FFF2-40B4-BE49-F238E27FC236}">
              <a16:creationId xmlns:a16="http://schemas.microsoft.com/office/drawing/2014/main" id="{00000000-0008-0000-0800-00009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4" name="Text Box 216">
          <a:extLst>
            <a:ext uri="{FF2B5EF4-FFF2-40B4-BE49-F238E27FC236}">
              <a16:creationId xmlns:a16="http://schemas.microsoft.com/office/drawing/2014/main" id="{00000000-0008-0000-0800-00009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5" name="Text Box 217">
          <a:extLst>
            <a:ext uri="{FF2B5EF4-FFF2-40B4-BE49-F238E27FC236}">
              <a16:creationId xmlns:a16="http://schemas.microsoft.com/office/drawing/2014/main" id="{00000000-0008-0000-0800-00009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6" name="Text Box 218">
          <a:extLst>
            <a:ext uri="{FF2B5EF4-FFF2-40B4-BE49-F238E27FC236}">
              <a16:creationId xmlns:a16="http://schemas.microsoft.com/office/drawing/2014/main" id="{00000000-0008-0000-0800-00009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7" name="Text Box 219">
          <a:extLst>
            <a:ext uri="{FF2B5EF4-FFF2-40B4-BE49-F238E27FC236}">
              <a16:creationId xmlns:a16="http://schemas.microsoft.com/office/drawing/2014/main" id="{00000000-0008-0000-0800-00009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8" name="Text Box 220">
          <a:extLst>
            <a:ext uri="{FF2B5EF4-FFF2-40B4-BE49-F238E27FC236}">
              <a16:creationId xmlns:a16="http://schemas.microsoft.com/office/drawing/2014/main" id="{00000000-0008-0000-0800-00009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9" name="Text Box 221">
          <a:extLst>
            <a:ext uri="{FF2B5EF4-FFF2-40B4-BE49-F238E27FC236}">
              <a16:creationId xmlns:a16="http://schemas.microsoft.com/office/drawing/2014/main" id="{00000000-0008-0000-0800-00009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0" name="Text Box 222">
          <a:extLst>
            <a:ext uri="{FF2B5EF4-FFF2-40B4-BE49-F238E27FC236}">
              <a16:creationId xmlns:a16="http://schemas.microsoft.com/office/drawing/2014/main" id="{00000000-0008-0000-0800-00009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1" name="Text Box 223">
          <a:extLst>
            <a:ext uri="{FF2B5EF4-FFF2-40B4-BE49-F238E27FC236}">
              <a16:creationId xmlns:a16="http://schemas.microsoft.com/office/drawing/2014/main" id="{00000000-0008-0000-0800-00009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2" name="Text Box 224">
          <a:extLst>
            <a:ext uri="{FF2B5EF4-FFF2-40B4-BE49-F238E27FC236}">
              <a16:creationId xmlns:a16="http://schemas.microsoft.com/office/drawing/2014/main" id="{00000000-0008-0000-0800-00009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3" name="Text Box 225">
          <a:extLst>
            <a:ext uri="{FF2B5EF4-FFF2-40B4-BE49-F238E27FC236}">
              <a16:creationId xmlns:a16="http://schemas.microsoft.com/office/drawing/2014/main" id="{00000000-0008-0000-0800-00009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4" name="Text Box 226">
          <a:extLst>
            <a:ext uri="{FF2B5EF4-FFF2-40B4-BE49-F238E27FC236}">
              <a16:creationId xmlns:a16="http://schemas.microsoft.com/office/drawing/2014/main" id="{00000000-0008-0000-0800-00009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5" name="Text Box 227">
          <a:extLst>
            <a:ext uri="{FF2B5EF4-FFF2-40B4-BE49-F238E27FC236}">
              <a16:creationId xmlns:a16="http://schemas.microsoft.com/office/drawing/2014/main" id="{00000000-0008-0000-0800-00009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6" name="Text Box 228">
          <a:extLst>
            <a:ext uri="{FF2B5EF4-FFF2-40B4-BE49-F238E27FC236}">
              <a16:creationId xmlns:a16="http://schemas.microsoft.com/office/drawing/2014/main" id="{00000000-0008-0000-0800-0000A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7" name="Text Box 229">
          <a:extLst>
            <a:ext uri="{FF2B5EF4-FFF2-40B4-BE49-F238E27FC236}">
              <a16:creationId xmlns:a16="http://schemas.microsoft.com/office/drawing/2014/main" id="{00000000-0008-0000-0800-0000A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8" name="Text Box 230">
          <a:extLst>
            <a:ext uri="{FF2B5EF4-FFF2-40B4-BE49-F238E27FC236}">
              <a16:creationId xmlns:a16="http://schemas.microsoft.com/office/drawing/2014/main" id="{00000000-0008-0000-0800-0000A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9" name="Text Box 231">
          <a:extLst>
            <a:ext uri="{FF2B5EF4-FFF2-40B4-BE49-F238E27FC236}">
              <a16:creationId xmlns:a16="http://schemas.microsoft.com/office/drawing/2014/main" id="{00000000-0008-0000-0800-0000A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0" name="Text Box 232">
          <a:extLst>
            <a:ext uri="{FF2B5EF4-FFF2-40B4-BE49-F238E27FC236}">
              <a16:creationId xmlns:a16="http://schemas.microsoft.com/office/drawing/2014/main" id="{00000000-0008-0000-0800-0000A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1" name="Text Box 233">
          <a:extLst>
            <a:ext uri="{FF2B5EF4-FFF2-40B4-BE49-F238E27FC236}">
              <a16:creationId xmlns:a16="http://schemas.microsoft.com/office/drawing/2014/main" id="{00000000-0008-0000-0800-0000A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2" name="Text Box 234">
          <a:extLst>
            <a:ext uri="{FF2B5EF4-FFF2-40B4-BE49-F238E27FC236}">
              <a16:creationId xmlns:a16="http://schemas.microsoft.com/office/drawing/2014/main" id="{00000000-0008-0000-0800-0000A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3" name="Text Box 235">
          <a:extLst>
            <a:ext uri="{FF2B5EF4-FFF2-40B4-BE49-F238E27FC236}">
              <a16:creationId xmlns:a16="http://schemas.microsoft.com/office/drawing/2014/main" id="{00000000-0008-0000-0800-0000A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4" name="Text Box 236">
          <a:extLst>
            <a:ext uri="{FF2B5EF4-FFF2-40B4-BE49-F238E27FC236}">
              <a16:creationId xmlns:a16="http://schemas.microsoft.com/office/drawing/2014/main" id="{00000000-0008-0000-0800-0000A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5" name="Text Box 237">
          <a:extLst>
            <a:ext uri="{FF2B5EF4-FFF2-40B4-BE49-F238E27FC236}">
              <a16:creationId xmlns:a16="http://schemas.microsoft.com/office/drawing/2014/main" id="{00000000-0008-0000-0800-0000A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6" name="Text Box 238">
          <a:extLst>
            <a:ext uri="{FF2B5EF4-FFF2-40B4-BE49-F238E27FC236}">
              <a16:creationId xmlns:a16="http://schemas.microsoft.com/office/drawing/2014/main" id="{00000000-0008-0000-0800-0000A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7" name="Text Box 239">
          <a:extLst>
            <a:ext uri="{FF2B5EF4-FFF2-40B4-BE49-F238E27FC236}">
              <a16:creationId xmlns:a16="http://schemas.microsoft.com/office/drawing/2014/main" id="{00000000-0008-0000-0800-0000A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8" name="Text Box 240">
          <a:extLst>
            <a:ext uri="{FF2B5EF4-FFF2-40B4-BE49-F238E27FC236}">
              <a16:creationId xmlns:a16="http://schemas.microsoft.com/office/drawing/2014/main" id="{00000000-0008-0000-0800-0000A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9" name="Text Box 241">
          <a:extLst>
            <a:ext uri="{FF2B5EF4-FFF2-40B4-BE49-F238E27FC236}">
              <a16:creationId xmlns:a16="http://schemas.microsoft.com/office/drawing/2014/main" id="{00000000-0008-0000-0800-0000A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0" name="Text Box 242">
          <a:extLst>
            <a:ext uri="{FF2B5EF4-FFF2-40B4-BE49-F238E27FC236}">
              <a16:creationId xmlns:a16="http://schemas.microsoft.com/office/drawing/2014/main" id="{00000000-0008-0000-0800-0000A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1" name="Text Box 243">
          <a:extLst>
            <a:ext uri="{FF2B5EF4-FFF2-40B4-BE49-F238E27FC236}">
              <a16:creationId xmlns:a16="http://schemas.microsoft.com/office/drawing/2014/main" id="{00000000-0008-0000-0800-0000A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2" name="Text Box 244">
          <a:extLst>
            <a:ext uri="{FF2B5EF4-FFF2-40B4-BE49-F238E27FC236}">
              <a16:creationId xmlns:a16="http://schemas.microsoft.com/office/drawing/2014/main" id="{00000000-0008-0000-0800-0000B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3" name="Text Box 245">
          <a:extLst>
            <a:ext uri="{FF2B5EF4-FFF2-40B4-BE49-F238E27FC236}">
              <a16:creationId xmlns:a16="http://schemas.microsoft.com/office/drawing/2014/main" id="{00000000-0008-0000-0800-0000B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4" name="Text Box 246">
          <a:extLst>
            <a:ext uri="{FF2B5EF4-FFF2-40B4-BE49-F238E27FC236}">
              <a16:creationId xmlns:a16="http://schemas.microsoft.com/office/drawing/2014/main" id="{00000000-0008-0000-0800-0000B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5" name="Text Box 247">
          <a:extLst>
            <a:ext uri="{FF2B5EF4-FFF2-40B4-BE49-F238E27FC236}">
              <a16:creationId xmlns:a16="http://schemas.microsoft.com/office/drawing/2014/main" id="{00000000-0008-0000-0800-0000B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6" name="Text Box 248">
          <a:extLst>
            <a:ext uri="{FF2B5EF4-FFF2-40B4-BE49-F238E27FC236}">
              <a16:creationId xmlns:a16="http://schemas.microsoft.com/office/drawing/2014/main" id="{00000000-0008-0000-0800-0000B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7" name="Text Box 249">
          <a:extLst>
            <a:ext uri="{FF2B5EF4-FFF2-40B4-BE49-F238E27FC236}">
              <a16:creationId xmlns:a16="http://schemas.microsoft.com/office/drawing/2014/main" id="{00000000-0008-0000-0800-0000B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8" name="Text Box 250">
          <a:extLst>
            <a:ext uri="{FF2B5EF4-FFF2-40B4-BE49-F238E27FC236}">
              <a16:creationId xmlns:a16="http://schemas.microsoft.com/office/drawing/2014/main" id="{00000000-0008-0000-0800-0000B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9" name="Text Box 251">
          <a:extLst>
            <a:ext uri="{FF2B5EF4-FFF2-40B4-BE49-F238E27FC236}">
              <a16:creationId xmlns:a16="http://schemas.microsoft.com/office/drawing/2014/main" id="{00000000-0008-0000-0800-0000B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0" name="Text Box 252">
          <a:extLst>
            <a:ext uri="{FF2B5EF4-FFF2-40B4-BE49-F238E27FC236}">
              <a16:creationId xmlns:a16="http://schemas.microsoft.com/office/drawing/2014/main" id="{00000000-0008-0000-0800-0000B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1" name="Text Box 253">
          <a:extLst>
            <a:ext uri="{FF2B5EF4-FFF2-40B4-BE49-F238E27FC236}">
              <a16:creationId xmlns:a16="http://schemas.microsoft.com/office/drawing/2014/main" id="{00000000-0008-0000-0800-0000B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2" name="Text Box 254">
          <a:extLst>
            <a:ext uri="{FF2B5EF4-FFF2-40B4-BE49-F238E27FC236}">
              <a16:creationId xmlns:a16="http://schemas.microsoft.com/office/drawing/2014/main" id="{00000000-0008-0000-0800-0000B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3" name="Text Box 255">
          <a:extLst>
            <a:ext uri="{FF2B5EF4-FFF2-40B4-BE49-F238E27FC236}">
              <a16:creationId xmlns:a16="http://schemas.microsoft.com/office/drawing/2014/main" id="{00000000-0008-0000-0800-0000B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4" name="Text Box 256">
          <a:extLst>
            <a:ext uri="{FF2B5EF4-FFF2-40B4-BE49-F238E27FC236}">
              <a16:creationId xmlns:a16="http://schemas.microsoft.com/office/drawing/2014/main" id="{00000000-0008-0000-0800-0000B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5" name="Text Box 257">
          <a:extLst>
            <a:ext uri="{FF2B5EF4-FFF2-40B4-BE49-F238E27FC236}">
              <a16:creationId xmlns:a16="http://schemas.microsoft.com/office/drawing/2014/main" id="{00000000-0008-0000-0800-0000B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6" name="Text Box 258">
          <a:extLst>
            <a:ext uri="{FF2B5EF4-FFF2-40B4-BE49-F238E27FC236}">
              <a16:creationId xmlns:a16="http://schemas.microsoft.com/office/drawing/2014/main" id="{00000000-0008-0000-0800-0000B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7" name="Text Box 259">
          <a:extLst>
            <a:ext uri="{FF2B5EF4-FFF2-40B4-BE49-F238E27FC236}">
              <a16:creationId xmlns:a16="http://schemas.microsoft.com/office/drawing/2014/main" id="{00000000-0008-0000-0800-0000B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8" name="Text Box 260">
          <a:extLst>
            <a:ext uri="{FF2B5EF4-FFF2-40B4-BE49-F238E27FC236}">
              <a16:creationId xmlns:a16="http://schemas.microsoft.com/office/drawing/2014/main" id="{00000000-0008-0000-0800-0000C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9" name="Text Box 261">
          <a:extLst>
            <a:ext uri="{FF2B5EF4-FFF2-40B4-BE49-F238E27FC236}">
              <a16:creationId xmlns:a16="http://schemas.microsoft.com/office/drawing/2014/main" id="{00000000-0008-0000-0800-0000C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0" name="Text Box 262">
          <a:extLst>
            <a:ext uri="{FF2B5EF4-FFF2-40B4-BE49-F238E27FC236}">
              <a16:creationId xmlns:a16="http://schemas.microsoft.com/office/drawing/2014/main" id="{00000000-0008-0000-0800-0000C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1" name="Text Box 263">
          <a:extLst>
            <a:ext uri="{FF2B5EF4-FFF2-40B4-BE49-F238E27FC236}">
              <a16:creationId xmlns:a16="http://schemas.microsoft.com/office/drawing/2014/main" id="{00000000-0008-0000-0800-0000C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2" name="Text Box 264">
          <a:extLst>
            <a:ext uri="{FF2B5EF4-FFF2-40B4-BE49-F238E27FC236}">
              <a16:creationId xmlns:a16="http://schemas.microsoft.com/office/drawing/2014/main" id="{00000000-0008-0000-0800-0000C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3" name="Text Box 265">
          <a:extLst>
            <a:ext uri="{FF2B5EF4-FFF2-40B4-BE49-F238E27FC236}">
              <a16:creationId xmlns:a16="http://schemas.microsoft.com/office/drawing/2014/main" id="{00000000-0008-0000-0800-0000C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4" name="Text Box 266">
          <a:extLst>
            <a:ext uri="{FF2B5EF4-FFF2-40B4-BE49-F238E27FC236}">
              <a16:creationId xmlns:a16="http://schemas.microsoft.com/office/drawing/2014/main" id="{00000000-0008-0000-0800-0000C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5" name="Text Box 267">
          <a:extLst>
            <a:ext uri="{FF2B5EF4-FFF2-40B4-BE49-F238E27FC236}">
              <a16:creationId xmlns:a16="http://schemas.microsoft.com/office/drawing/2014/main" id="{00000000-0008-0000-0800-0000C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6" name="Text Box 268">
          <a:extLst>
            <a:ext uri="{FF2B5EF4-FFF2-40B4-BE49-F238E27FC236}">
              <a16:creationId xmlns:a16="http://schemas.microsoft.com/office/drawing/2014/main" id="{00000000-0008-0000-0800-0000C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7" name="Text Box 269">
          <a:extLst>
            <a:ext uri="{FF2B5EF4-FFF2-40B4-BE49-F238E27FC236}">
              <a16:creationId xmlns:a16="http://schemas.microsoft.com/office/drawing/2014/main" id="{00000000-0008-0000-0800-0000C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8" name="Text Box 270">
          <a:extLst>
            <a:ext uri="{FF2B5EF4-FFF2-40B4-BE49-F238E27FC236}">
              <a16:creationId xmlns:a16="http://schemas.microsoft.com/office/drawing/2014/main" id="{00000000-0008-0000-0800-0000C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9" name="Text Box 271">
          <a:extLst>
            <a:ext uri="{FF2B5EF4-FFF2-40B4-BE49-F238E27FC236}">
              <a16:creationId xmlns:a16="http://schemas.microsoft.com/office/drawing/2014/main" id="{00000000-0008-0000-0800-0000C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0" name="Text Box 272">
          <a:extLst>
            <a:ext uri="{FF2B5EF4-FFF2-40B4-BE49-F238E27FC236}">
              <a16:creationId xmlns:a16="http://schemas.microsoft.com/office/drawing/2014/main" id="{00000000-0008-0000-0800-0000C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1" name="Text Box 273">
          <a:extLst>
            <a:ext uri="{FF2B5EF4-FFF2-40B4-BE49-F238E27FC236}">
              <a16:creationId xmlns:a16="http://schemas.microsoft.com/office/drawing/2014/main" id="{00000000-0008-0000-0800-0000C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2" name="Text Box 274">
          <a:extLst>
            <a:ext uri="{FF2B5EF4-FFF2-40B4-BE49-F238E27FC236}">
              <a16:creationId xmlns:a16="http://schemas.microsoft.com/office/drawing/2014/main" id="{00000000-0008-0000-0800-0000C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3" name="Text Box 275">
          <a:extLst>
            <a:ext uri="{FF2B5EF4-FFF2-40B4-BE49-F238E27FC236}">
              <a16:creationId xmlns:a16="http://schemas.microsoft.com/office/drawing/2014/main" id="{00000000-0008-0000-0800-0000C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4" name="Text Box 276">
          <a:extLst>
            <a:ext uri="{FF2B5EF4-FFF2-40B4-BE49-F238E27FC236}">
              <a16:creationId xmlns:a16="http://schemas.microsoft.com/office/drawing/2014/main" id="{00000000-0008-0000-0800-0000D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5" name="Text Box 277">
          <a:extLst>
            <a:ext uri="{FF2B5EF4-FFF2-40B4-BE49-F238E27FC236}">
              <a16:creationId xmlns:a16="http://schemas.microsoft.com/office/drawing/2014/main" id="{00000000-0008-0000-0800-0000D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6" name="Text Box 278">
          <a:extLst>
            <a:ext uri="{FF2B5EF4-FFF2-40B4-BE49-F238E27FC236}">
              <a16:creationId xmlns:a16="http://schemas.microsoft.com/office/drawing/2014/main" id="{00000000-0008-0000-0800-0000D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7" name="Text Box 279">
          <a:extLst>
            <a:ext uri="{FF2B5EF4-FFF2-40B4-BE49-F238E27FC236}">
              <a16:creationId xmlns:a16="http://schemas.microsoft.com/office/drawing/2014/main" id="{00000000-0008-0000-0800-0000D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8" name="Text Box 280">
          <a:extLst>
            <a:ext uri="{FF2B5EF4-FFF2-40B4-BE49-F238E27FC236}">
              <a16:creationId xmlns:a16="http://schemas.microsoft.com/office/drawing/2014/main" id="{00000000-0008-0000-0800-0000D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9" name="Text Box 281">
          <a:extLst>
            <a:ext uri="{FF2B5EF4-FFF2-40B4-BE49-F238E27FC236}">
              <a16:creationId xmlns:a16="http://schemas.microsoft.com/office/drawing/2014/main" id="{00000000-0008-0000-0800-0000D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0" name="Text Box 282">
          <a:extLst>
            <a:ext uri="{FF2B5EF4-FFF2-40B4-BE49-F238E27FC236}">
              <a16:creationId xmlns:a16="http://schemas.microsoft.com/office/drawing/2014/main" id="{00000000-0008-0000-0800-0000D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1" name="Text Box 283">
          <a:extLst>
            <a:ext uri="{FF2B5EF4-FFF2-40B4-BE49-F238E27FC236}">
              <a16:creationId xmlns:a16="http://schemas.microsoft.com/office/drawing/2014/main" id="{00000000-0008-0000-0800-0000D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2" name="Text Box 284">
          <a:extLst>
            <a:ext uri="{FF2B5EF4-FFF2-40B4-BE49-F238E27FC236}">
              <a16:creationId xmlns:a16="http://schemas.microsoft.com/office/drawing/2014/main" id="{00000000-0008-0000-0800-0000D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3" name="Text Box 285">
          <a:extLst>
            <a:ext uri="{FF2B5EF4-FFF2-40B4-BE49-F238E27FC236}">
              <a16:creationId xmlns:a16="http://schemas.microsoft.com/office/drawing/2014/main" id="{00000000-0008-0000-0800-0000D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4" name="Text Box 286">
          <a:extLst>
            <a:ext uri="{FF2B5EF4-FFF2-40B4-BE49-F238E27FC236}">
              <a16:creationId xmlns:a16="http://schemas.microsoft.com/office/drawing/2014/main" id="{00000000-0008-0000-0800-0000D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5" name="Text Box 287">
          <a:extLst>
            <a:ext uri="{FF2B5EF4-FFF2-40B4-BE49-F238E27FC236}">
              <a16:creationId xmlns:a16="http://schemas.microsoft.com/office/drawing/2014/main" id="{00000000-0008-0000-0800-0000D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6" name="Text Box 288">
          <a:extLst>
            <a:ext uri="{FF2B5EF4-FFF2-40B4-BE49-F238E27FC236}">
              <a16:creationId xmlns:a16="http://schemas.microsoft.com/office/drawing/2014/main" id="{00000000-0008-0000-0800-0000D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7" name="Text Box 289">
          <a:extLst>
            <a:ext uri="{FF2B5EF4-FFF2-40B4-BE49-F238E27FC236}">
              <a16:creationId xmlns:a16="http://schemas.microsoft.com/office/drawing/2014/main" id="{00000000-0008-0000-0800-0000D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8" name="Text Box 290">
          <a:extLst>
            <a:ext uri="{FF2B5EF4-FFF2-40B4-BE49-F238E27FC236}">
              <a16:creationId xmlns:a16="http://schemas.microsoft.com/office/drawing/2014/main" id="{00000000-0008-0000-0800-0000D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9" name="Text Box 291">
          <a:extLst>
            <a:ext uri="{FF2B5EF4-FFF2-40B4-BE49-F238E27FC236}">
              <a16:creationId xmlns:a16="http://schemas.microsoft.com/office/drawing/2014/main" id="{00000000-0008-0000-0800-0000D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0" name="Text Box 292">
          <a:extLst>
            <a:ext uri="{FF2B5EF4-FFF2-40B4-BE49-F238E27FC236}">
              <a16:creationId xmlns:a16="http://schemas.microsoft.com/office/drawing/2014/main" id="{00000000-0008-0000-0800-0000E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1" name="Text Box 293">
          <a:extLst>
            <a:ext uri="{FF2B5EF4-FFF2-40B4-BE49-F238E27FC236}">
              <a16:creationId xmlns:a16="http://schemas.microsoft.com/office/drawing/2014/main" id="{00000000-0008-0000-0800-0000E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2" name="Text Box 294">
          <a:extLst>
            <a:ext uri="{FF2B5EF4-FFF2-40B4-BE49-F238E27FC236}">
              <a16:creationId xmlns:a16="http://schemas.microsoft.com/office/drawing/2014/main" id="{00000000-0008-0000-0800-0000E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3" name="Text Box 295">
          <a:extLst>
            <a:ext uri="{FF2B5EF4-FFF2-40B4-BE49-F238E27FC236}">
              <a16:creationId xmlns:a16="http://schemas.microsoft.com/office/drawing/2014/main" id="{00000000-0008-0000-0800-0000E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4" name="Text Box 296">
          <a:extLst>
            <a:ext uri="{FF2B5EF4-FFF2-40B4-BE49-F238E27FC236}">
              <a16:creationId xmlns:a16="http://schemas.microsoft.com/office/drawing/2014/main" id="{00000000-0008-0000-0800-0000E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5" name="Text Box 297">
          <a:extLst>
            <a:ext uri="{FF2B5EF4-FFF2-40B4-BE49-F238E27FC236}">
              <a16:creationId xmlns:a16="http://schemas.microsoft.com/office/drawing/2014/main" id="{00000000-0008-0000-0800-0000E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6" name="Text Box 298">
          <a:extLst>
            <a:ext uri="{FF2B5EF4-FFF2-40B4-BE49-F238E27FC236}">
              <a16:creationId xmlns:a16="http://schemas.microsoft.com/office/drawing/2014/main" id="{00000000-0008-0000-0800-0000E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7" name="Text Box 299">
          <a:extLst>
            <a:ext uri="{FF2B5EF4-FFF2-40B4-BE49-F238E27FC236}">
              <a16:creationId xmlns:a16="http://schemas.microsoft.com/office/drawing/2014/main" id="{00000000-0008-0000-0800-0000E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8" name="Text Box 300">
          <a:extLst>
            <a:ext uri="{FF2B5EF4-FFF2-40B4-BE49-F238E27FC236}">
              <a16:creationId xmlns:a16="http://schemas.microsoft.com/office/drawing/2014/main" id="{00000000-0008-0000-0800-0000E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9" name="Text Box 301">
          <a:extLst>
            <a:ext uri="{FF2B5EF4-FFF2-40B4-BE49-F238E27FC236}">
              <a16:creationId xmlns:a16="http://schemas.microsoft.com/office/drawing/2014/main" id="{00000000-0008-0000-0800-0000E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0" name="Text Box 302">
          <a:extLst>
            <a:ext uri="{FF2B5EF4-FFF2-40B4-BE49-F238E27FC236}">
              <a16:creationId xmlns:a16="http://schemas.microsoft.com/office/drawing/2014/main" id="{00000000-0008-0000-0800-0000E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1" name="Text Box 303">
          <a:extLst>
            <a:ext uri="{FF2B5EF4-FFF2-40B4-BE49-F238E27FC236}">
              <a16:creationId xmlns:a16="http://schemas.microsoft.com/office/drawing/2014/main" id="{00000000-0008-0000-0800-0000E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2" name="Text Box 304">
          <a:extLst>
            <a:ext uri="{FF2B5EF4-FFF2-40B4-BE49-F238E27FC236}">
              <a16:creationId xmlns:a16="http://schemas.microsoft.com/office/drawing/2014/main" id="{00000000-0008-0000-0800-0000E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3" name="Text Box 305">
          <a:extLst>
            <a:ext uri="{FF2B5EF4-FFF2-40B4-BE49-F238E27FC236}">
              <a16:creationId xmlns:a16="http://schemas.microsoft.com/office/drawing/2014/main" id="{00000000-0008-0000-0800-0000E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4" name="Text Box 306">
          <a:extLst>
            <a:ext uri="{FF2B5EF4-FFF2-40B4-BE49-F238E27FC236}">
              <a16:creationId xmlns:a16="http://schemas.microsoft.com/office/drawing/2014/main" id="{00000000-0008-0000-0800-0000E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5" name="Text Box 307">
          <a:extLst>
            <a:ext uri="{FF2B5EF4-FFF2-40B4-BE49-F238E27FC236}">
              <a16:creationId xmlns:a16="http://schemas.microsoft.com/office/drawing/2014/main" id="{00000000-0008-0000-0800-0000E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6" name="Text Box 308">
          <a:extLst>
            <a:ext uri="{FF2B5EF4-FFF2-40B4-BE49-F238E27FC236}">
              <a16:creationId xmlns:a16="http://schemas.microsoft.com/office/drawing/2014/main" id="{00000000-0008-0000-0800-0000F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7" name="Text Box 309">
          <a:extLst>
            <a:ext uri="{FF2B5EF4-FFF2-40B4-BE49-F238E27FC236}">
              <a16:creationId xmlns:a16="http://schemas.microsoft.com/office/drawing/2014/main" id="{00000000-0008-0000-0800-0000F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8" name="Text Box 310">
          <a:extLst>
            <a:ext uri="{FF2B5EF4-FFF2-40B4-BE49-F238E27FC236}">
              <a16:creationId xmlns:a16="http://schemas.microsoft.com/office/drawing/2014/main" id="{00000000-0008-0000-0800-0000F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9" name="Text Box 311">
          <a:extLst>
            <a:ext uri="{FF2B5EF4-FFF2-40B4-BE49-F238E27FC236}">
              <a16:creationId xmlns:a16="http://schemas.microsoft.com/office/drawing/2014/main" id="{00000000-0008-0000-0800-0000F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0" name="Text Box 312">
          <a:extLst>
            <a:ext uri="{FF2B5EF4-FFF2-40B4-BE49-F238E27FC236}">
              <a16:creationId xmlns:a16="http://schemas.microsoft.com/office/drawing/2014/main" id="{00000000-0008-0000-0800-0000F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1" name="Text Box 313">
          <a:extLst>
            <a:ext uri="{FF2B5EF4-FFF2-40B4-BE49-F238E27FC236}">
              <a16:creationId xmlns:a16="http://schemas.microsoft.com/office/drawing/2014/main" id="{00000000-0008-0000-0800-0000F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2" name="Text Box 314">
          <a:extLst>
            <a:ext uri="{FF2B5EF4-FFF2-40B4-BE49-F238E27FC236}">
              <a16:creationId xmlns:a16="http://schemas.microsoft.com/office/drawing/2014/main" id="{00000000-0008-0000-0800-0000F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3" name="Text Box 315">
          <a:extLst>
            <a:ext uri="{FF2B5EF4-FFF2-40B4-BE49-F238E27FC236}">
              <a16:creationId xmlns:a16="http://schemas.microsoft.com/office/drawing/2014/main" id="{00000000-0008-0000-0800-0000F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4" name="Text Box 316">
          <a:extLst>
            <a:ext uri="{FF2B5EF4-FFF2-40B4-BE49-F238E27FC236}">
              <a16:creationId xmlns:a16="http://schemas.microsoft.com/office/drawing/2014/main" id="{00000000-0008-0000-0800-0000F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5" name="Text Box 317">
          <a:extLst>
            <a:ext uri="{FF2B5EF4-FFF2-40B4-BE49-F238E27FC236}">
              <a16:creationId xmlns:a16="http://schemas.microsoft.com/office/drawing/2014/main" id="{00000000-0008-0000-0800-0000F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6" name="Text Box 318">
          <a:extLst>
            <a:ext uri="{FF2B5EF4-FFF2-40B4-BE49-F238E27FC236}">
              <a16:creationId xmlns:a16="http://schemas.microsoft.com/office/drawing/2014/main" id="{00000000-0008-0000-0800-0000F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7" name="Text Box 319">
          <a:extLst>
            <a:ext uri="{FF2B5EF4-FFF2-40B4-BE49-F238E27FC236}">
              <a16:creationId xmlns:a16="http://schemas.microsoft.com/office/drawing/2014/main" id="{00000000-0008-0000-0800-0000F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8" name="Text Box 320">
          <a:extLst>
            <a:ext uri="{FF2B5EF4-FFF2-40B4-BE49-F238E27FC236}">
              <a16:creationId xmlns:a16="http://schemas.microsoft.com/office/drawing/2014/main" id="{00000000-0008-0000-0800-0000F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29" name="Text Box 28">
          <a:extLst>
            <a:ext uri="{FF2B5EF4-FFF2-40B4-BE49-F238E27FC236}">
              <a16:creationId xmlns:a16="http://schemas.microsoft.com/office/drawing/2014/main" id="{00000000-0008-0000-0800-0000F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0" name="Text Box 29">
          <a:extLst>
            <a:ext uri="{FF2B5EF4-FFF2-40B4-BE49-F238E27FC236}">
              <a16:creationId xmlns:a16="http://schemas.microsoft.com/office/drawing/2014/main" id="{00000000-0008-0000-0800-0000F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1" name="Text Box 30">
          <a:extLst>
            <a:ext uri="{FF2B5EF4-FFF2-40B4-BE49-F238E27FC236}">
              <a16:creationId xmlns:a16="http://schemas.microsoft.com/office/drawing/2014/main" id="{00000000-0008-0000-0800-0000F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2" name="Text Box 31">
          <a:extLst>
            <a:ext uri="{FF2B5EF4-FFF2-40B4-BE49-F238E27FC236}">
              <a16:creationId xmlns:a16="http://schemas.microsoft.com/office/drawing/2014/main" id="{00000000-0008-0000-0800-00000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3" name="Text Box 32">
          <a:extLst>
            <a:ext uri="{FF2B5EF4-FFF2-40B4-BE49-F238E27FC236}">
              <a16:creationId xmlns:a16="http://schemas.microsoft.com/office/drawing/2014/main" id="{00000000-0008-0000-0800-00000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4" name="Text Box 33">
          <a:extLst>
            <a:ext uri="{FF2B5EF4-FFF2-40B4-BE49-F238E27FC236}">
              <a16:creationId xmlns:a16="http://schemas.microsoft.com/office/drawing/2014/main" id="{00000000-0008-0000-0800-00000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5" name="Text Box 34">
          <a:extLst>
            <a:ext uri="{FF2B5EF4-FFF2-40B4-BE49-F238E27FC236}">
              <a16:creationId xmlns:a16="http://schemas.microsoft.com/office/drawing/2014/main" id="{00000000-0008-0000-0800-00000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6" name="Text Box 35">
          <a:extLst>
            <a:ext uri="{FF2B5EF4-FFF2-40B4-BE49-F238E27FC236}">
              <a16:creationId xmlns:a16="http://schemas.microsoft.com/office/drawing/2014/main" id="{00000000-0008-0000-0800-00000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7" name="Text Box 36">
          <a:extLst>
            <a:ext uri="{FF2B5EF4-FFF2-40B4-BE49-F238E27FC236}">
              <a16:creationId xmlns:a16="http://schemas.microsoft.com/office/drawing/2014/main" id="{00000000-0008-0000-0800-00000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8" name="Text Box 37">
          <a:extLst>
            <a:ext uri="{FF2B5EF4-FFF2-40B4-BE49-F238E27FC236}">
              <a16:creationId xmlns:a16="http://schemas.microsoft.com/office/drawing/2014/main" id="{00000000-0008-0000-0800-00000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9" name="Text Box 38">
          <a:extLst>
            <a:ext uri="{FF2B5EF4-FFF2-40B4-BE49-F238E27FC236}">
              <a16:creationId xmlns:a16="http://schemas.microsoft.com/office/drawing/2014/main" id="{00000000-0008-0000-0800-00000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0" name="Text Box 39">
          <a:extLst>
            <a:ext uri="{FF2B5EF4-FFF2-40B4-BE49-F238E27FC236}">
              <a16:creationId xmlns:a16="http://schemas.microsoft.com/office/drawing/2014/main" id="{00000000-0008-0000-0800-00000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1" name="Text Box 40">
          <a:extLst>
            <a:ext uri="{FF2B5EF4-FFF2-40B4-BE49-F238E27FC236}">
              <a16:creationId xmlns:a16="http://schemas.microsoft.com/office/drawing/2014/main" id="{00000000-0008-0000-0800-00000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2" name="Text Box 41">
          <a:extLst>
            <a:ext uri="{FF2B5EF4-FFF2-40B4-BE49-F238E27FC236}">
              <a16:creationId xmlns:a16="http://schemas.microsoft.com/office/drawing/2014/main" id="{00000000-0008-0000-0800-00000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3" name="Text Box 42">
          <a:extLst>
            <a:ext uri="{FF2B5EF4-FFF2-40B4-BE49-F238E27FC236}">
              <a16:creationId xmlns:a16="http://schemas.microsoft.com/office/drawing/2014/main" id="{00000000-0008-0000-0800-00000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4" name="Text Box 43">
          <a:extLst>
            <a:ext uri="{FF2B5EF4-FFF2-40B4-BE49-F238E27FC236}">
              <a16:creationId xmlns:a16="http://schemas.microsoft.com/office/drawing/2014/main" id="{00000000-0008-0000-0800-00000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5" name="Text Box 44">
          <a:extLst>
            <a:ext uri="{FF2B5EF4-FFF2-40B4-BE49-F238E27FC236}">
              <a16:creationId xmlns:a16="http://schemas.microsoft.com/office/drawing/2014/main" id="{00000000-0008-0000-0800-00000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6" name="Text Box 45">
          <a:extLst>
            <a:ext uri="{FF2B5EF4-FFF2-40B4-BE49-F238E27FC236}">
              <a16:creationId xmlns:a16="http://schemas.microsoft.com/office/drawing/2014/main" id="{00000000-0008-0000-0800-00000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7" name="Text Box 46">
          <a:extLst>
            <a:ext uri="{FF2B5EF4-FFF2-40B4-BE49-F238E27FC236}">
              <a16:creationId xmlns:a16="http://schemas.microsoft.com/office/drawing/2014/main" id="{00000000-0008-0000-0800-00000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8" name="Text Box 47">
          <a:extLst>
            <a:ext uri="{FF2B5EF4-FFF2-40B4-BE49-F238E27FC236}">
              <a16:creationId xmlns:a16="http://schemas.microsoft.com/office/drawing/2014/main" id="{00000000-0008-0000-0800-00001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9" name="Text Box 48">
          <a:extLst>
            <a:ext uri="{FF2B5EF4-FFF2-40B4-BE49-F238E27FC236}">
              <a16:creationId xmlns:a16="http://schemas.microsoft.com/office/drawing/2014/main" id="{00000000-0008-0000-0800-00001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0" name="Text Box 49">
          <a:extLst>
            <a:ext uri="{FF2B5EF4-FFF2-40B4-BE49-F238E27FC236}">
              <a16:creationId xmlns:a16="http://schemas.microsoft.com/office/drawing/2014/main" id="{00000000-0008-0000-0800-00001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1" name="Text Box 50">
          <a:extLst>
            <a:ext uri="{FF2B5EF4-FFF2-40B4-BE49-F238E27FC236}">
              <a16:creationId xmlns:a16="http://schemas.microsoft.com/office/drawing/2014/main" id="{00000000-0008-0000-0800-00001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2" name="Text Box 51">
          <a:extLst>
            <a:ext uri="{FF2B5EF4-FFF2-40B4-BE49-F238E27FC236}">
              <a16:creationId xmlns:a16="http://schemas.microsoft.com/office/drawing/2014/main" id="{00000000-0008-0000-0800-00001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3" name="Text Box 52">
          <a:extLst>
            <a:ext uri="{FF2B5EF4-FFF2-40B4-BE49-F238E27FC236}">
              <a16:creationId xmlns:a16="http://schemas.microsoft.com/office/drawing/2014/main" id="{00000000-0008-0000-0800-00001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4" name="Text Box 53">
          <a:extLst>
            <a:ext uri="{FF2B5EF4-FFF2-40B4-BE49-F238E27FC236}">
              <a16:creationId xmlns:a16="http://schemas.microsoft.com/office/drawing/2014/main" id="{00000000-0008-0000-0800-00001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5" name="Text Box 54">
          <a:extLst>
            <a:ext uri="{FF2B5EF4-FFF2-40B4-BE49-F238E27FC236}">
              <a16:creationId xmlns:a16="http://schemas.microsoft.com/office/drawing/2014/main" id="{00000000-0008-0000-0800-00001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6" name="Text Box 55">
          <a:extLst>
            <a:ext uri="{FF2B5EF4-FFF2-40B4-BE49-F238E27FC236}">
              <a16:creationId xmlns:a16="http://schemas.microsoft.com/office/drawing/2014/main" id="{00000000-0008-0000-0800-00001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7" name="Text Box 56">
          <a:extLst>
            <a:ext uri="{FF2B5EF4-FFF2-40B4-BE49-F238E27FC236}">
              <a16:creationId xmlns:a16="http://schemas.microsoft.com/office/drawing/2014/main" id="{00000000-0008-0000-0800-00001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8" name="Text Box 57">
          <a:extLst>
            <a:ext uri="{FF2B5EF4-FFF2-40B4-BE49-F238E27FC236}">
              <a16:creationId xmlns:a16="http://schemas.microsoft.com/office/drawing/2014/main" id="{00000000-0008-0000-0800-00001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9" name="Text Box 58">
          <a:extLst>
            <a:ext uri="{FF2B5EF4-FFF2-40B4-BE49-F238E27FC236}">
              <a16:creationId xmlns:a16="http://schemas.microsoft.com/office/drawing/2014/main" id="{00000000-0008-0000-0800-00001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0" name="Text Box 59">
          <a:extLst>
            <a:ext uri="{FF2B5EF4-FFF2-40B4-BE49-F238E27FC236}">
              <a16:creationId xmlns:a16="http://schemas.microsoft.com/office/drawing/2014/main" id="{00000000-0008-0000-0800-00001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1" name="Text Box 60">
          <a:extLst>
            <a:ext uri="{FF2B5EF4-FFF2-40B4-BE49-F238E27FC236}">
              <a16:creationId xmlns:a16="http://schemas.microsoft.com/office/drawing/2014/main" id="{00000000-0008-0000-0800-00001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2" name="Text Box 61">
          <a:extLst>
            <a:ext uri="{FF2B5EF4-FFF2-40B4-BE49-F238E27FC236}">
              <a16:creationId xmlns:a16="http://schemas.microsoft.com/office/drawing/2014/main" id="{00000000-0008-0000-0800-00001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3" name="Text Box 62">
          <a:extLst>
            <a:ext uri="{FF2B5EF4-FFF2-40B4-BE49-F238E27FC236}">
              <a16:creationId xmlns:a16="http://schemas.microsoft.com/office/drawing/2014/main" id="{00000000-0008-0000-0800-00001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4" name="Text Box 63">
          <a:extLst>
            <a:ext uri="{FF2B5EF4-FFF2-40B4-BE49-F238E27FC236}">
              <a16:creationId xmlns:a16="http://schemas.microsoft.com/office/drawing/2014/main" id="{00000000-0008-0000-0800-00002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5" name="Text Box 64">
          <a:extLst>
            <a:ext uri="{FF2B5EF4-FFF2-40B4-BE49-F238E27FC236}">
              <a16:creationId xmlns:a16="http://schemas.microsoft.com/office/drawing/2014/main" id="{00000000-0008-0000-0800-00002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6" name="Text Box 65">
          <a:extLst>
            <a:ext uri="{FF2B5EF4-FFF2-40B4-BE49-F238E27FC236}">
              <a16:creationId xmlns:a16="http://schemas.microsoft.com/office/drawing/2014/main" id="{00000000-0008-0000-0800-00002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7" name="Text Box 66">
          <a:extLst>
            <a:ext uri="{FF2B5EF4-FFF2-40B4-BE49-F238E27FC236}">
              <a16:creationId xmlns:a16="http://schemas.microsoft.com/office/drawing/2014/main" id="{00000000-0008-0000-0800-00002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8" name="Text Box 67">
          <a:extLst>
            <a:ext uri="{FF2B5EF4-FFF2-40B4-BE49-F238E27FC236}">
              <a16:creationId xmlns:a16="http://schemas.microsoft.com/office/drawing/2014/main" id="{00000000-0008-0000-0800-00002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9" name="Text Box 68">
          <a:extLst>
            <a:ext uri="{FF2B5EF4-FFF2-40B4-BE49-F238E27FC236}">
              <a16:creationId xmlns:a16="http://schemas.microsoft.com/office/drawing/2014/main" id="{00000000-0008-0000-0800-00002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0" name="Text Box 69">
          <a:extLst>
            <a:ext uri="{FF2B5EF4-FFF2-40B4-BE49-F238E27FC236}">
              <a16:creationId xmlns:a16="http://schemas.microsoft.com/office/drawing/2014/main" id="{00000000-0008-0000-0800-00002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1" name="Text Box 70">
          <a:extLst>
            <a:ext uri="{FF2B5EF4-FFF2-40B4-BE49-F238E27FC236}">
              <a16:creationId xmlns:a16="http://schemas.microsoft.com/office/drawing/2014/main" id="{00000000-0008-0000-0800-00002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2" name="Text Box 71">
          <a:extLst>
            <a:ext uri="{FF2B5EF4-FFF2-40B4-BE49-F238E27FC236}">
              <a16:creationId xmlns:a16="http://schemas.microsoft.com/office/drawing/2014/main" id="{00000000-0008-0000-0800-00002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3" name="Text Box 72">
          <a:extLst>
            <a:ext uri="{FF2B5EF4-FFF2-40B4-BE49-F238E27FC236}">
              <a16:creationId xmlns:a16="http://schemas.microsoft.com/office/drawing/2014/main" id="{00000000-0008-0000-0800-00002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4" name="Text Box 73">
          <a:extLst>
            <a:ext uri="{FF2B5EF4-FFF2-40B4-BE49-F238E27FC236}">
              <a16:creationId xmlns:a16="http://schemas.microsoft.com/office/drawing/2014/main" id="{00000000-0008-0000-0800-00002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5" name="Text Box 74">
          <a:extLst>
            <a:ext uri="{FF2B5EF4-FFF2-40B4-BE49-F238E27FC236}">
              <a16:creationId xmlns:a16="http://schemas.microsoft.com/office/drawing/2014/main" id="{00000000-0008-0000-0800-00002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6" name="Text Box 75">
          <a:extLst>
            <a:ext uri="{FF2B5EF4-FFF2-40B4-BE49-F238E27FC236}">
              <a16:creationId xmlns:a16="http://schemas.microsoft.com/office/drawing/2014/main" id="{00000000-0008-0000-0800-00002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7" name="Text Box 76">
          <a:extLst>
            <a:ext uri="{FF2B5EF4-FFF2-40B4-BE49-F238E27FC236}">
              <a16:creationId xmlns:a16="http://schemas.microsoft.com/office/drawing/2014/main" id="{00000000-0008-0000-0800-00002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8" name="Text Box 77">
          <a:extLst>
            <a:ext uri="{FF2B5EF4-FFF2-40B4-BE49-F238E27FC236}">
              <a16:creationId xmlns:a16="http://schemas.microsoft.com/office/drawing/2014/main" id="{00000000-0008-0000-0800-00002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9" name="Text Box 78">
          <a:extLst>
            <a:ext uri="{FF2B5EF4-FFF2-40B4-BE49-F238E27FC236}">
              <a16:creationId xmlns:a16="http://schemas.microsoft.com/office/drawing/2014/main" id="{00000000-0008-0000-0800-00002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0" name="Text Box 79">
          <a:extLst>
            <a:ext uri="{FF2B5EF4-FFF2-40B4-BE49-F238E27FC236}">
              <a16:creationId xmlns:a16="http://schemas.microsoft.com/office/drawing/2014/main" id="{00000000-0008-0000-0800-00003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1" name="Text Box 80">
          <a:extLst>
            <a:ext uri="{FF2B5EF4-FFF2-40B4-BE49-F238E27FC236}">
              <a16:creationId xmlns:a16="http://schemas.microsoft.com/office/drawing/2014/main" id="{00000000-0008-0000-0800-00003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2" name="Text Box 81">
          <a:extLst>
            <a:ext uri="{FF2B5EF4-FFF2-40B4-BE49-F238E27FC236}">
              <a16:creationId xmlns:a16="http://schemas.microsoft.com/office/drawing/2014/main" id="{00000000-0008-0000-0800-00003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3" name="Text Box 82">
          <a:extLst>
            <a:ext uri="{FF2B5EF4-FFF2-40B4-BE49-F238E27FC236}">
              <a16:creationId xmlns:a16="http://schemas.microsoft.com/office/drawing/2014/main" id="{00000000-0008-0000-0800-00003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4" name="Text Box 83">
          <a:extLst>
            <a:ext uri="{FF2B5EF4-FFF2-40B4-BE49-F238E27FC236}">
              <a16:creationId xmlns:a16="http://schemas.microsoft.com/office/drawing/2014/main" id="{00000000-0008-0000-0800-00003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5" name="Text Box 84">
          <a:extLst>
            <a:ext uri="{FF2B5EF4-FFF2-40B4-BE49-F238E27FC236}">
              <a16:creationId xmlns:a16="http://schemas.microsoft.com/office/drawing/2014/main" id="{00000000-0008-0000-0800-00003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6" name="Text Box 85">
          <a:extLst>
            <a:ext uri="{FF2B5EF4-FFF2-40B4-BE49-F238E27FC236}">
              <a16:creationId xmlns:a16="http://schemas.microsoft.com/office/drawing/2014/main" id="{00000000-0008-0000-0800-00003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7" name="Text Box 86">
          <a:extLst>
            <a:ext uri="{FF2B5EF4-FFF2-40B4-BE49-F238E27FC236}">
              <a16:creationId xmlns:a16="http://schemas.microsoft.com/office/drawing/2014/main" id="{00000000-0008-0000-0800-00003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8" name="Text Box 87">
          <a:extLst>
            <a:ext uri="{FF2B5EF4-FFF2-40B4-BE49-F238E27FC236}">
              <a16:creationId xmlns:a16="http://schemas.microsoft.com/office/drawing/2014/main" id="{00000000-0008-0000-0800-00003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9" name="Text Box 88">
          <a:extLst>
            <a:ext uri="{FF2B5EF4-FFF2-40B4-BE49-F238E27FC236}">
              <a16:creationId xmlns:a16="http://schemas.microsoft.com/office/drawing/2014/main" id="{00000000-0008-0000-0800-00003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0" name="Text Box 89">
          <a:extLst>
            <a:ext uri="{FF2B5EF4-FFF2-40B4-BE49-F238E27FC236}">
              <a16:creationId xmlns:a16="http://schemas.microsoft.com/office/drawing/2014/main" id="{00000000-0008-0000-0800-00003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1" name="Text Box 90">
          <a:extLst>
            <a:ext uri="{FF2B5EF4-FFF2-40B4-BE49-F238E27FC236}">
              <a16:creationId xmlns:a16="http://schemas.microsoft.com/office/drawing/2014/main" id="{00000000-0008-0000-0800-00003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2" name="Text Box 91">
          <a:extLst>
            <a:ext uri="{FF2B5EF4-FFF2-40B4-BE49-F238E27FC236}">
              <a16:creationId xmlns:a16="http://schemas.microsoft.com/office/drawing/2014/main" id="{00000000-0008-0000-0800-00003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3" name="Text Box 92">
          <a:extLst>
            <a:ext uri="{FF2B5EF4-FFF2-40B4-BE49-F238E27FC236}">
              <a16:creationId xmlns:a16="http://schemas.microsoft.com/office/drawing/2014/main" id="{00000000-0008-0000-0800-00003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4" name="Text Box 93">
          <a:extLst>
            <a:ext uri="{FF2B5EF4-FFF2-40B4-BE49-F238E27FC236}">
              <a16:creationId xmlns:a16="http://schemas.microsoft.com/office/drawing/2014/main" id="{00000000-0008-0000-0800-00003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5" name="Text Box 94">
          <a:extLst>
            <a:ext uri="{FF2B5EF4-FFF2-40B4-BE49-F238E27FC236}">
              <a16:creationId xmlns:a16="http://schemas.microsoft.com/office/drawing/2014/main" id="{00000000-0008-0000-0800-00003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6" name="Text Box 95">
          <a:extLst>
            <a:ext uri="{FF2B5EF4-FFF2-40B4-BE49-F238E27FC236}">
              <a16:creationId xmlns:a16="http://schemas.microsoft.com/office/drawing/2014/main" id="{00000000-0008-0000-0800-00004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7" name="Text Box 96">
          <a:extLst>
            <a:ext uri="{FF2B5EF4-FFF2-40B4-BE49-F238E27FC236}">
              <a16:creationId xmlns:a16="http://schemas.microsoft.com/office/drawing/2014/main" id="{00000000-0008-0000-0800-00004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8" name="Text Box 97">
          <a:extLst>
            <a:ext uri="{FF2B5EF4-FFF2-40B4-BE49-F238E27FC236}">
              <a16:creationId xmlns:a16="http://schemas.microsoft.com/office/drawing/2014/main" id="{00000000-0008-0000-0800-00004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99" name="Text Box 100">
          <a:extLst>
            <a:ext uri="{FF2B5EF4-FFF2-40B4-BE49-F238E27FC236}">
              <a16:creationId xmlns:a16="http://schemas.microsoft.com/office/drawing/2014/main" id="{00000000-0008-0000-0800-00004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0" name="Text Box 101">
          <a:extLst>
            <a:ext uri="{FF2B5EF4-FFF2-40B4-BE49-F238E27FC236}">
              <a16:creationId xmlns:a16="http://schemas.microsoft.com/office/drawing/2014/main" id="{00000000-0008-0000-0800-00004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1" name="Text Box 102">
          <a:extLst>
            <a:ext uri="{FF2B5EF4-FFF2-40B4-BE49-F238E27FC236}">
              <a16:creationId xmlns:a16="http://schemas.microsoft.com/office/drawing/2014/main" id="{00000000-0008-0000-0800-00004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2" name="Text Box 103">
          <a:extLst>
            <a:ext uri="{FF2B5EF4-FFF2-40B4-BE49-F238E27FC236}">
              <a16:creationId xmlns:a16="http://schemas.microsoft.com/office/drawing/2014/main" id="{00000000-0008-0000-0800-00004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3" name="Text Box 104">
          <a:extLst>
            <a:ext uri="{FF2B5EF4-FFF2-40B4-BE49-F238E27FC236}">
              <a16:creationId xmlns:a16="http://schemas.microsoft.com/office/drawing/2014/main" id="{00000000-0008-0000-0800-00004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4" name="Text Box 105">
          <a:extLst>
            <a:ext uri="{FF2B5EF4-FFF2-40B4-BE49-F238E27FC236}">
              <a16:creationId xmlns:a16="http://schemas.microsoft.com/office/drawing/2014/main" id="{00000000-0008-0000-0800-00004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5" name="Text Box 106">
          <a:extLst>
            <a:ext uri="{FF2B5EF4-FFF2-40B4-BE49-F238E27FC236}">
              <a16:creationId xmlns:a16="http://schemas.microsoft.com/office/drawing/2014/main" id="{00000000-0008-0000-0800-00004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6" name="Text Box 107">
          <a:extLst>
            <a:ext uri="{FF2B5EF4-FFF2-40B4-BE49-F238E27FC236}">
              <a16:creationId xmlns:a16="http://schemas.microsoft.com/office/drawing/2014/main" id="{00000000-0008-0000-0800-00004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7" name="Text Box 108">
          <a:extLst>
            <a:ext uri="{FF2B5EF4-FFF2-40B4-BE49-F238E27FC236}">
              <a16:creationId xmlns:a16="http://schemas.microsoft.com/office/drawing/2014/main" id="{00000000-0008-0000-0800-00004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8" name="Text Box 109">
          <a:extLst>
            <a:ext uri="{FF2B5EF4-FFF2-40B4-BE49-F238E27FC236}">
              <a16:creationId xmlns:a16="http://schemas.microsoft.com/office/drawing/2014/main" id="{00000000-0008-0000-0800-00004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9" name="Text Box 110">
          <a:extLst>
            <a:ext uri="{FF2B5EF4-FFF2-40B4-BE49-F238E27FC236}">
              <a16:creationId xmlns:a16="http://schemas.microsoft.com/office/drawing/2014/main" id="{00000000-0008-0000-0800-00004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0" name="Text Box 111">
          <a:extLst>
            <a:ext uri="{FF2B5EF4-FFF2-40B4-BE49-F238E27FC236}">
              <a16:creationId xmlns:a16="http://schemas.microsoft.com/office/drawing/2014/main" id="{00000000-0008-0000-0800-00004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1" name="Text Box 119">
          <a:extLst>
            <a:ext uri="{FF2B5EF4-FFF2-40B4-BE49-F238E27FC236}">
              <a16:creationId xmlns:a16="http://schemas.microsoft.com/office/drawing/2014/main" id="{00000000-0008-0000-0800-00004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2" name="Text Box 120">
          <a:extLst>
            <a:ext uri="{FF2B5EF4-FFF2-40B4-BE49-F238E27FC236}">
              <a16:creationId xmlns:a16="http://schemas.microsoft.com/office/drawing/2014/main" id="{00000000-0008-0000-0800-00005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3" name="Text Box 121">
          <a:extLst>
            <a:ext uri="{FF2B5EF4-FFF2-40B4-BE49-F238E27FC236}">
              <a16:creationId xmlns:a16="http://schemas.microsoft.com/office/drawing/2014/main" id="{00000000-0008-0000-0800-00005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4" name="Text Box 122">
          <a:extLst>
            <a:ext uri="{FF2B5EF4-FFF2-40B4-BE49-F238E27FC236}">
              <a16:creationId xmlns:a16="http://schemas.microsoft.com/office/drawing/2014/main" id="{00000000-0008-0000-0800-00005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5" name="Text Box 123">
          <a:extLst>
            <a:ext uri="{FF2B5EF4-FFF2-40B4-BE49-F238E27FC236}">
              <a16:creationId xmlns:a16="http://schemas.microsoft.com/office/drawing/2014/main" id="{00000000-0008-0000-0800-00005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6" name="Text Box 124">
          <a:extLst>
            <a:ext uri="{FF2B5EF4-FFF2-40B4-BE49-F238E27FC236}">
              <a16:creationId xmlns:a16="http://schemas.microsoft.com/office/drawing/2014/main" id="{00000000-0008-0000-0800-00005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7" name="Text Box 125">
          <a:extLst>
            <a:ext uri="{FF2B5EF4-FFF2-40B4-BE49-F238E27FC236}">
              <a16:creationId xmlns:a16="http://schemas.microsoft.com/office/drawing/2014/main" id="{00000000-0008-0000-0800-00005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8" name="Text Box 126">
          <a:extLst>
            <a:ext uri="{FF2B5EF4-FFF2-40B4-BE49-F238E27FC236}">
              <a16:creationId xmlns:a16="http://schemas.microsoft.com/office/drawing/2014/main" id="{00000000-0008-0000-0800-00005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9" name="Text Box 127">
          <a:extLst>
            <a:ext uri="{FF2B5EF4-FFF2-40B4-BE49-F238E27FC236}">
              <a16:creationId xmlns:a16="http://schemas.microsoft.com/office/drawing/2014/main" id="{00000000-0008-0000-0800-00005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0" name="Text Box 128">
          <a:extLst>
            <a:ext uri="{FF2B5EF4-FFF2-40B4-BE49-F238E27FC236}">
              <a16:creationId xmlns:a16="http://schemas.microsoft.com/office/drawing/2014/main" id="{00000000-0008-0000-0800-00005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1" name="Text Box 129">
          <a:extLst>
            <a:ext uri="{FF2B5EF4-FFF2-40B4-BE49-F238E27FC236}">
              <a16:creationId xmlns:a16="http://schemas.microsoft.com/office/drawing/2014/main" id="{00000000-0008-0000-0800-00005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2" name="Text Box 130">
          <a:extLst>
            <a:ext uri="{FF2B5EF4-FFF2-40B4-BE49-F238E27FC236}">
              <a16:creationId xmlns:a16="http://schemas.microsoft.com/office/drawing/2014/main" id="{00000000-0008-0000-0800-00005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3" name="Text Box 133">
          <a:extLst>
            <a:ext uri="{FF2B5EF4-FFF2-40B4-BE49-F238E27FC236}">
              <a16:creationId xmlns:a16="http://schemas.microsoft.com/office/drawing/2014/main" id="{00000000-0008-0000-0800-00005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4" name="Text Box 134">
          <a:extLst>
            <a:ext uri="{FF2B5EF4-FFF2-40B4-BE49-F238E27FC236}">
              <a16:creationId xmlns:a16="http://schemas.microsoft.com/office/drawing/2014/main" id="{00000000-0008-0000-0800-00005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5" name="Text Box 135">
          <a:extLst>
            <a:ext uri="{FF2B5EF4-FFF2-40B4-BE49-F238E27FC236}">
              <a16:creationId xmlns:a16="http://schemas.microsoft.com/office/drawing/2014/main" id="{00000000-0008-0000-0800-00005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6" name="Text Box 136">
          <a:extLst>
            <a:ext uri="{FF2B5EF4-FFF2-40B4-BE49-F238E27FC236}">
              <a16:creationId xmlns:a16="http://schemas.microsoft.com/office/drawing/2014/main" id="{00000000-0008-0000-0800-00005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7" name="Text Box 137">
          <a:extLst>
            <a:ext uri="{FF2B5EF4-FFF2-40B4-BE49-F238E27FC236}">
              <a16:creationId xmlns:a16="http://schemas.microsoft.com/office/drawing/2014/main" id="{00000000-0008-0000-0800-00005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8" name="Text Box 138">
          <a:extLst>
            <a:ext uri="{FF2B5EF4-FFF2-40B4-BE49-F238E27FC236}">
              <a16:creationId xmlns:a16="http://schemas.microsoft.com/office/drawing/2014/main" id="{00000000-0008-0000-0800-00006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9" name="Text Box 139">
          <a:extLst>
            <a:ext uri="{FF2B5EF4-FFF2-40B4-BE49-F238E27FC236}">
              <a16:creationId xmlns:a16="http://schemas.microsoft.com/office/drawing/2014/main" id="{00000000-0008-0000-0800-00006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0" name="Text Box 140">
          <a:extLst>
            <a:ext uri="{FF2B5EF4-FFF2-40B4-BE49-F238E27FC236}">
              <a16:creationId xmlns:a16="http://schemas.microsoft.com/office/drawing/2014/main" id="{00000000-0008-0000-0800-00006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1" name="Text Box 141">
          <a:extLst>
            <a:ext uri="{FF2B5EF4-FFF2-40B4-BE49-F238E27FC236}">
              <a16:creationId xmlns:a16="http://schemas.microsoft.com/office/drawing/2014/main" id="{00000000-0008-0000-0800-00006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2" name="Text Box 142">
          <a:extLst>
            <a:ext uri="{FF2B5EF4-FFF2-40B4-BE49-F238E27FC236}">
              <a16:creationId xmlns:a16="http://schemas.microsoft.com/office/drawing/2014/main" id="{00000000-0008-0000-0800-00006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3" name="Text Box 143">
          <a:extLst>
            <a:ext uri="{FF2B5EF4-FFF2-40B4-BE49-F238E27FC236}">
              <a16:creationId xmlns:a16="http://schemas.microsoft.com/office/drawing/2014/main" id="{00000000-0008-0000-0800-00006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4" name="Text Box 144">
          <a:extLst>
            <a:ext uri="{FF2B5EF4-FFF2-40B4-BE49-F238E27FC236}">
              <a16:creationId xmlns:a16="http://schemas.microsoft.com/office/drawing/2014/main" id="{00000000-0008-0000-0800-00006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5" name="Text Box 145">
          <a:extLst>
            <a:ext uri="{FF2B5EF4-FFF2-40B4-BE49-F238E27FC236}">
              <a16:creationId xmlns:a16="http://schemas.microsoft.com/office/drawing/2014/main" id="{00000000-0008-0000-0800-00006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6" name="Text Box 146">
          <a:extLst>
            <a:ext uri="{FF2B5EF4-FFF2-40B4-BE49-F238E27FC236}">
              <a16:creationId xmlns:a16="http://schemas.microsoft.com/office/drawing/2014/main" id="{00000000-0008-0000-0800-00006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7" name="Text Box 147">
          <a:extLst>
            <a:ext uri="{FF2B5EF4-FFF2-40B4-BE49-F238E27FC236}">
              <a16:creationId xmlns:a16="http://schemas.microsoft.com/office/drawing/2014/main" id="{00000000-0008-0000-0800-00006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8" name="Text Box 148">
          <a:extLst>
            <a:ext uri="{FF2B5EF4-FFF2-40B4-BE49-F238E27FC236}">
              <a16:creationId xmlns:a16="http://schemas.microsoft.com/office/drawing/2014/main" id="{00000000-0008-0000-0800-00006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9" name="Text Box 149">
          <a:extLst>
            <a:ext uri="{FF2B5EF4-FFF2-40B4-BE49-F238E27FC236}">
              <a16:creationId xmlns:a16="http://schemas.microsoft.com/office/drawing/2014/main" id="{00000000-0008-0000-0800-00006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0" name="Text Box 150">
          <a:extLst>
            <a:ext uri="{FF2B5EF4-FFF2-40B4-BE49-F238E27FC236}">
              <a16:creationId xmlns:a16="http://schemas.microsoft.com/office/drawing/2014/main" id="{00000000-0008-0000-0800-00006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1" name="Text Box 151">
          <a:extLst>
            <a:ext uri="{FF2B5EF4-FFF2-40B4-BE49-F238E27FC236}">
              <a16:creationId xmlns:a16="http://schemas.microsoft.com/office/drawing/2014/main" id="{00000000-0008-0000-0800-00006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2" name="Text Box 152">
          <a:extLst>
            <a:ext uri="{FF2B5EF4-FFF2-40B4-BE49-F238E27FC236}">
              <a16:creationId xmlns:a16="http://schemas.microsoft.com/office/drawing/2014/main" id="{00000000-0008-0000-0800-00006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3" name="Text Box 153">
          <a:extLst>
            <a:ext uri="{FF2B5EF4-FFF2-40B4-BE49-F238E27FC236}">
              <a16:creationId xmlns:a16="http://schemas.microsoft.com/office/drawing/2014/main" id="{00000000-0008-0000-0800-00006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4" name="Text Box 154">
          <a:extLst>
            <a:ext uri="{FF2B5EF4-FFF2-40B4-BE49-F238E27FC236}">
              <a16:creationId xmlns:a16="http://schemas.microsoft.com/office/drawing/2014/main" id="{00000000-0008-0000-0800-00007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5" name="Text Box 155">
          <a:extLst>
            <a:ext uri="{FF2B5EF4-FFF2-40B4-BE49-F238E27FC236}">
              <a16:creationId xmlns:a16="http://schemas.microsoft.com/office/drawing/2014/main" id="{00000000-0008-0000-0800-00007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6" name="Text Box 156">
          <a:extLst>
            <a:ext uri="{FF2B5EF4-FFF2-40B4-BE49-F238E27FC236}">
              <a16:creationId xmlns:a16="http://schemas.microsoft.com/office/drawing/2014/main" id="{00000000-0008-0000-0800-00007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7" name="Text Box 157">
          <a:extLst>
            <a:ext uri="{FF2B5EF4-FFF2-40B4-BE49-F238E27FC236}">
              <a16:creationId xmlns:a16="http://schemas.microsoft.com/office/drawing/2014/main" id="{00000000-0008-0000-0800-00007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8" name="Text Box 158">
          <a:extLst>
            <a:ext uri="{FF2B5EF4-FFF2-40B4-BE49-F238E27FC236}">
              <a16:creationId xmlns:a16="http://schemas.microsoft.com/office/drawing/2014/main" id="{00000000-0008-0000-0800-00007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9" name="Text Box 159">
          <a:extLst>
            <a:ext uri="{FF2B5EF4-FFF2-40B4-BE49-F238E27FC236}">
              <a16:creationId xmlns:a16="http://schemas.microsoft.com/office/drawing/2014/main" id="{00000000-0008-0000-0800-00007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0" name="Text Box 160">
          <a:extLst>
            <a:ext uri="{FF2B5EF4-FFF2-40B4-BE49-F238E27FC236}">
              <a16:creationId xmlns:a16="http://schemas.microsoft.com/office/drawing/2014/main" id="{00000000-0008-0000-0800-00007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1" name="Text Box 161">
          <a:extLst>
            <a:ext uri="{FF2B5EF4-FFF2-40B4-BE49-F238E27FC236}">
              <a16:creationId xmlns:a16="http://schemas.microsoft.com/office/drawing/2014/main" id="{00000000-0008-0000-0800-00007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2" name="Text Box 162">
          <a:extLst>
            <a:ext uri="{FF2B5EF4-FFF2-40B4-BE49-F238E27FC236}">
              <a16:creationId xmlns:a16="http://schemas.microsoft.com/office/drawing/2014/main" id="{00000000-0008-0000-0800-00007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3" name="Text Box 163">
          <a:extLst>
            <a:ext uri="{FF2B5EF4-FFF2-40B4-BE49-F238E27FC236}">
              <a16:creationId xmlns:a16="http://schemas.microsoft.com/office/drawing/2014/main" id="{00000000-0008-0000-0800-00007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4" name="Text Box 164">
          <a:extLst>
            <a:ext uri="{FF2B5EF4-FFF2-40B4-BE49-F238E27FC236}">
              <a16:creationId xmlns:a16="http://schemas.microsoft.com/office/drawing/2014/main" id="{00000000-0008-0000-0800-00007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5" name="Text Box 165">
          <a:extLst>
            <a:ext uri="{FF2B5EF4-FFF2-40B4-BE49-F238E27FC236}">
              <a16:creationId xmlns:a16="http://schemas.microsoft.com/office/drawing/2014/main" id="{00000000-0008-0000-0800-00007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6" name="Text Box 166">
          <a:extLst>
            <a:ext uri="{FF2B5EF4-FFF2-40B4-BE49-F238E27FC236}">
              <a16:creationId xmlns:a16="http://schemas.microsoft.com/office/drawing/2014/main" id="{00000000-0008-0000-0800-00007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7" name="Text Box 167">
          <a:extLst>
            <a:ext uri="{FF2B5EF4-FFF2-40B4-BE49-F238E27FC236}">
              <a16:creationId xmlns:a16="http://schemas.microsoft.com/office/drawing/2014/main" id="{00000000-0008-0000-0800-00007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8" name="Text Box 168">
          <a:extLst>
            <a:ext uri="{FF2B5EF4-FFF2-40B4-BE49-F238E27FC236}">
              <a16:creationId xmlns:a16="http://schemas.microsoft.com/office/drawing/2014/main" id="{00000000-0008-0000-0800-00007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9" name="Text Box 169">
          <a:extLst>
            <a:ext uri="{FF2B5EF4-FFF2-40B4-BE49-F238E27FC236}">
              <a16:creationId xmlns:a16="http://schemas.microsoft.com/office/drawing/2014/main" id="{00000000-0008-0000-0800-00007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0" name="Text Box 170">
          <a:extLst>
            <a:ext uri="{FF2B5EF4-FFF2-40B4-BE49-F238E27FC236}">
              <a16:creationId xmlns:a16="http://schemas.microsoft.com/office/drawing/2014/main" id="{00000000-0008-0000-0800-00008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1" name="Text Box 171">
          <a:extLst>
            <a:ext uri="{FF2B5EF4-FFF2-40B4-BE49-F238E27FC236}">
              <a16:creationId xmlns:a16="http://schemas.microsoft.com/office/drawing/2014/main" id="{00000000-0008-0000-0800-00008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2" name="Text Box 172">
          <a:extLst>
            <a:ext uri="{FF2B5EF4-FFF2-40B4-BE49-F238E27FC236}">
              <a16:creationId xmlns:a16="http://schemas.microsoft.com/office/drawing/2014/main" id="{00000000-0008-0000-0800-00008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3" name="Text Box 173">
          <a:extLst>
            <a:ext uri="{FF2B5EF4-FFF2-40B4-BE49-F238E27FC236}">
              <a16:creationId xmlns:a16="http://schemas.microsoft.com/office/drawing/2014/main" id="{00000000-0008-0000-0800-00008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4" name="Text Box 174">
          <a:extLst>
            <a:ext uri="{FF2B5EF4-FFF2-40B4-BE49-F238E27FC236}">
              <a16:creationId xmlns:a16="http://schemas.microsoft.com/office/drawing/2014/main" id="{00000000-0008-0000-0800-00008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5" name="Text Box 175">
          <a:extLst>
            <a:ext uri="{FF2B5EF4-FFF2-40B4-BE49-F238E27FC236}">
              <a16:creationId xmlns:a16="http://schemas.microsoft.com/office/drawing/2014/main" id="{00000000-0008-0000-0800-00008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6" name="Text Box 176">
          <a:extLst>
            <a:ext uri="{FF2B5EF4-FFF2-40B4-BE49-F238E27FC236}">
              <a16:creationId xmlns:a16="http://schemas.microsoft.com/office/drawing/2014/main" id="{00000000-0008-0000-0800-00008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7" name="Text Box 177">
          <a:extLst>
            <a:ext uri="{FF2B5EF4-FFF2-40B4-BE49-F238E27FC236}">
              <a16:creationId xmlns:a16="http://schemas.microsoft.com/office/drawing/2014/main" id="{00000000-0008-0000-0800-00008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8" name="Text Box 178">
          <a:extLst>
            <a:ext uri="{FF2B5EF4-FFF2-40B4-BE49-F238E27FC236}">
              <a16:creationId xmlns:a16="http://schemas.microsoft.com/office/drawing/2014/main" id="{00000000-0008-0000-0800-00008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9" name="Text Box 179">
          <a:extLst>
            <a:ext uri="{FF2B5EF4-FFF2-40B4-BE49-F238E27FC236}">
              <a16:creationId xmlns:a16="http://schemas.microsoft.com/office/drawing/2014/main" id="{00000000-0008-0000-0800-00008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0" name="Text Box 180">
          <a:extLst>
            <a:ext uri="{FF2B5EF4-FFF2-40B4-BE49-F238E27FC236}">
              <a16:creationId xmlns:a16="http://schemas.microsoft.com/office/drawing/2014/main" id="{00000000-0008-0000-0800-00008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1" name="Text Box 181">
          <a:extLst>
            <a:ext uri="{FF2B5EF4-FFF2-40B4-BE49-F238E27FC236}">
              <a16:creationId xmlns:a16="http://schemas.microsoft.com/office/drawing/2014/main" id="{00000000-0008-0000-0800-00008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2" name="Text Box 182">
          <a:extLst>
            <a:ext uri="{FF2B5EF4-FFF2-40B4-BE49-F238E27FC236}">
              <a16:creationId xmlns:a16="http://schemas.microsoft.com/office/drawing/2014/main" id="{00000000-0008-0000-0800-00008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3" name="Text Box 183">
          <a:extLst>
            <a:ext uri="{FF2B5EF4-FFF2-40B4-BE49-F238E27FC236}">
              <a16:creationId xmlns:a16="http://schemas.microsoft.com/office/drawing/2014/main" id="{00000000-0008-0000-0800-00008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4" name="Text Box 184">
          <a:extLst>
            <a:ext uri="{FF2B5EF4-FFF2-40B4-BE49-F238E27FC236}">
              <a16:creationId xmlns:a16="http://schemas.microsoft.com/office/drawing/2014/main" id="{00000000-0008-0000-0800-00008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5" name="Text Box 185">
          <a:extLst>
            <a:ext uri="{FF2B5EF4-FFF2-40B4-BE49-F238E27FC236}">
              <a16:creationId xmlns:a16="http://schemas.microsoft.com/office/drawing/2014/main" id="{00000000-0008-0000-0800-00008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6" name="Text Box 186">
          <a:extLst>
            <a:ext uri="{FF2B5EF4-FFF2-40B4-BE49-F238E27FC236}">
              <a16:creationId xmlns:a16="http://schemas.microsoft.com/office/drawing/2014/main" id="{00000000-0008-0000-0800-00009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7" name="Text Box 187">
          <a:extLst>
            <a:ext uri="{FF2B5EF4-FFF2-40B4-BE49-F238E27FC236}">
              <a16:creationId xmlns:a16="http://schemas.microsoft.com/office/drawing/2014/main" id="{00000000-0008-0000-0800-00009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8" name="Text Box 188">
          <a:extLst>
            <a:ext uri="{FF2B5EF4-FFF2-40B4-BE49-F238E27FC236}">
              <a16:creationId xmlns:a16="http://schemas.microsoft.com/office/drawing/2014/main" id="{00000000-0008-0000-0800-00009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9" name="Text Box 189">
          <a:extLst>
            <a:ext uri="{FF2B5EF4-FFF2-40B4-BE49-F238E27FC236}">
              <a16:creationId xmlns:a16="http://schemas.microsoft.com/office/drawing/2014/main" id="{00000000-0008-0000-0800-00009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0" name="Text Box 190">
          <a:extLst>
            <a:ext uri="{FF2B5EF4-FFF2-40B4-BE49-F238E27FC236}">
              <a16:creationId xmlns:a16="http://schemas.microsoft.com/office/drawing/2014/main" id="{00000000-0008-0000-0800-00009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1" name="Text Box 191">
          <a:extLst>
            <a:ext uri="{FF2B5EF4-FFF2-40B4-BE49-F238E27FC236}">
              <a16:creationId xmlns:a16="http://schemas.microsoft.com/office/drawing/2014/main" id="{00000000-0008-0000-0800-00009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2" name="Text Box 192">
          <a:extLst>
            <a:ext uri="{FF2B5EF4-FFF2-40B4-BE49-F238E27FC236}">
              <a16:creationId xmlns:a16="http://schemas.microsoft.com/office/drawing/2014/main" id="{00000000-0008-0000-0800-00009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3" name="Text Box 193">
          <a:extLst>
            <a:ext uri="{FF2B5EF4-FFF2-40B4-BE49-F238E27FC236}">
              <a16:creationId xmlns:a16="http://schemas.microsoft.com/office/drawing/2014/main" id="{00000000-0008-0000-0800-00009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4" name="Text Box 194">
          <a:extLst>
            <a:ext uri="{FF2B5EF4-FFF2-40B4-BE49-F238E27FC236}">
              <a16:creationId xmlns:a16="http://schemas.microsoft.com/office/drawing/2014/main" id="{00000000-0008-0000-0800-00009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5" name="Text Box 195">
          <a:extLst>
            <a:ext uri="{FF2B5EF4-FFF2-40B4-BE49-F238E27FC236}">
              <a16:creationId xmlns:a16="http://schemas.microsoft.com/office/drawing/2014/main" id="{00000000-0008-0000-0800-00009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6" name="Text Box 196">
          <a:extLst>
            <a:ext uri="{FF2B5EF4-FFF2-40B4-BE49-F238E27FC236}">
              <a16:creationId xmlns:a16="http://schemas.microsoft.com/office/drawing/2014/main" id="{00000000-0008-0000-0800-00009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7" name="Text Box 197">
          <a:extLst>
            <a:ext uri="{FF2B5EF4-FFF2-40B4-BE49-F238E27FC236}">
              <a16:creationId xmlns:a16="http://schemas.microsoft.com/office/drawing/2014/main" id="{00000000-0008-0000-0800-00009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8" name="Text Box 198">
          <a:extLst>
            <a:ext uri="{FF2B5EF4-FFF2-40B4-BE49-F238E27FC236}">
              <a16:creationId xmlns:a16="http://schemas.microsoft.com/office/drawing/2014/main" id="{00000000-0008-0000-0800-00009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9" name="Text Box 199">
          <a:extLst>
            <a:ext uri="{FF2B5EF4-FFF2-40B4-BE49-F238E27FC236}">
              <a16:creationId xmlns:a16="http://schemas.microsoft.com/office/drawing/2014/main" id="{00000000-0008-0000-0800-00009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0" name="Text Box 200">
          <a:extLst>
            <a:ext uri="{FF2B5EF4-FFF2-40B4-BE49-F238E27FC236}">
              <a16:creationId xmlns:a16="http://schemas.microsoft.com/office/drawing/2014/main" id="{00000000-0008-0000-0800-00009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1" name="Text Box 201">
          <a:extLst>
            <a:ext uri="{FF2B5EF4-FFF2-40B4-BE49-F238E27FC236}">
              <a16:creationId xmlns:a16="http://schemas.microsoft.com/office/drawing/2014/main" id="{00000000-0008-0000-0800-00009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2" name="Text Box 202">
          <a:extLst>
            <a:ext uri="{FF2B5EF4-FFF2-40B4-BE49-F238E27FC236}">
              <a16:creationId xmlns:a16="http://schemas.microsoft.com/office/drawing/2014/main" id="{00000000-0008-0000-0800-0000A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3" name="Text Box 203">
          <a:extLst>
            <a:ext uri="{FF2B5EF4-FFF2-40B4-BE49-F238E27FC236}">
              <a16:creationId xmlns:a16="http://schemas.microsoft.com/office/drawing/2014/main" id="{00000000-0008-0000-0800-0000A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4" name="Text Box 204">
          <a:extLst>
            <a:ext uri="{FF2B5EF4-FFF2-40B4-BE49-F238E27FC236}">
              <a16:creationId xmlns:a16="http://schemas.microsoft.com/office/drawing/2014/main" id="{00000000-0008-0000-0800-0000A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5" name="Text Box 205">
          <a:extLst>
            <a:ext uri="{FF2B5EF4-FFF2-40B4-BE49-F238E27FC236}">
              <a16:creationId xmlns:a16="http://schemas.microsoft.com/office/drawing/2014/main" id="{00000000-0008-0000-0800-0000A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6" name="Text Box 206">
          <a:extLst>
            <a:ext uri="{FF2B5EF4-FFF2-40B4-BE49-F238E27FC236}">
              <a16:creationId xmlns:a16="http://schemas.microsoft.com/office/drawing/2014/main" id="{00000000-0008-0000-0800-0000A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7" name="Text Box 207">
          <a:extLst>
            <a:ext uri="{FF2B5EF4-FFF2-40B4-BE49-F238E27FC236}">
              <a16:creationId xmlns:a16="http://schemas.microsoft.com/office/drawing/2014/main" id="{00000000-0008-0000-0800-0000A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8" name="Text Box 208">
          <a:extLst>
            <a:ext uri="{FF2B5EF4-FFF2-40B4-BE49-F238E27FC236}">
              <a16:creationId xmlns:a16="http://schemas.microsoft.com/office/drawing/2014/main" id="{00000000-0008-0000-0800-0000A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9" name="Text Box 209">
          <a:extLst>
            <a:ext uri="{FF2B5EF4-FFF2-40B4-BE49-F238E27FC236}">
              <a16:creationId xmlns:a16="http://schemas.microsoft.com/office/drawing/2014/main" id="{00000000-0008-0000-0800-0000A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0" name="Text Box 210">
          <a:extLst>
            <a:ext uri="{FF2B5EF4-FFF2-40B4-BE49-F238E27FC236}">
              <a16:creationId xmlns:a16="http://schemas.microsoft.com/office/drawing/2014/main" id="{00000000-0008-0000-0800-0000A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1" name="Text Box 211">
          <a:extLst>
            <a:ext uri="{FF2B5EF4-FFF2-40B4-BE49-F238E27FC236}">
              <a16:creationId xmlns:a16="http://schemas.microsoft.com/office/drawing/2014/main" id="{00000000-0008-0000-0800-0000A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2" name="Text Box 212">
          <a:extLst>
            <a:ext uri="{FF2B5EF4-FFF2-40B4-BE49-F238E27FC236}">
              <a16:creationId xmlns:a16="http://schemas.microsoft.com/office/drawing/2014/main" id="{00000000-0008-0000-0800-0000A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3" name="Text Box 213">
          <a:extLst>
            <a:ext uri="{FF2B5EF4-FFF2-40B4-BE49-F238E27FC236}">
              <a16:creationId xmlns:a16="http://schemas.microsoft.com/office/drawing/2014/main" id="{00000000-0008-0000-0800-0000A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4" name="Text Box 214">
          <a:extLst>
            <a:ext uri="{FF2B5EF4-FFF2-40B4-BE49-F238E27FC236}">
              <a16:creationId xmlns:a16="http://schemas.microsoft.com/office/drawing/2014/main" id="{00000000-0008-0000-0800-0000A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5" name="Text Box 215">
          <a:extLst>
            <a:ext uri="{FF2B5EF4-FFF2-40B4-BE49-F238E27FC236}">
              <a16:creationId xmlns:a16="http://schemas.microsoft.com/office/drawing/2014/main" id="{00000000-0008-0000-0800-0000A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6" name="Text Box 216">
          <a:extLst>
            <a:ext uri="{FF2B5EF4-FFF2-40B4-BE49-F238E27FC236}">
              <a16:creationId xmlns:a16="http://schemas.microsoft.com/office/drawing/2014/main" id="{00000000-0008-0000-0800-0000A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7" name="Text Box 217">
          <a:extLst>
            <a:ext uri="{FF2B5EF4-FFF2-40B4-BE49-F238E27FC236}">
              <a16:creationId xmlns:a16="http://schemas.microsoft.com/office/drawing/2014/main" id="{00000000-0008-0000-0800-0000A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8" name="Text Box 218">
          <a:extLst>
            <a:ext uri="{FF2B5EF4-FFF2-40B4-BE49-F238E27FC236}">
              <a16:creationId xmlns:a16="http://schemas.microsoft.com/office/drawing/2014/main" id="{00000000-0008-0000-0800-0000B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9" name="Text Box 219">
          <a:extLst>
            <a:ext uri="{FF2B5EF4-FFF2-40B4-BE49-F238E27FC236}">
              <a16:creationId xmlns:a16="http://schemas.microsoft.com/office/drawing/2014/main" id="{00000000-0008-0000-0800-0000B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0" name="Text Box 220">
          <a:extLst>
            <a:ext uri="{FF2B5EF4-FFF2-40B4-BE49-F238E27FC236}">
              <a16:creationId xmlns:a16="http://schemas.microsoft.com/office/drawing/2014/main" id="{00000000-0008-0000-0800-0000B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1" name="Text Box 221">
          <a:extLst>
            <a:ext uri="{FF2B5EF4-FFF2-40B4-BE49-F238E27FC236}">
              <a16:creationId xmlns:a16="http://schemas.microsoft.com/office/drawing/2014/main" id="{00000000-0008-0000-0800-0000B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2" name="Text Box 222">
          <a:extLst>
            <a:ext uri="{FF2B5EF4-FFF2-40B4-BE49-F238E27FC236}">
              <a16:creationId xmlns:a16="http://schemas.microsoft.com/office/drawing/2014/main" id="{00000000-0008-0000-0800-0000B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3" name="Text Box 223">
          <a:extLst>
            <a:ext uri="{FF2B5EF4-FFF2-40B4-BE49-F238E27FC236}">
              <a16:creationId xmlns:a16="http://schemas.microsoft.com/office/drawing/2014/main" id="{00000000-0008-0000-0800-0000B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4" name="Text Box 224">
          <a:extLst>
            <a:ext uri="{FF2B5EF4-FFF2-40B4-BE49-F238E27FC236}">
              <a16:creationId xmlns:a16="http://schemas.microsoft.com/office/drawing/2014/main" id="{00000000-0008-0000-0800-0000B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5" name="Text Box 225">
          <a:extLst>
            <a:ext uri="{FF2B5EF4-FFF2-40B4-BE49-F238E27FC236}">
              <a16:creationId xmlns:a16="http://schemas.microsoft.com/office/drawing/2014/main" id="{00000000-0008-0000-0800-0000B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6" name="Text Box 226">
          <a:extLst>
            <a:ext uri="{FF2B5EF4-FFF2-40B4-BE49-F238E27FC236}">
              <a16:creationId xmlns:a16="http://schemas.microsoft.com/office/drawing/2014/main" id="{00000000-0008-0000-0800-0000B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7" name="Text Box 227">
          <a:extLst>
            <a:ext uri="{FF2B5EF4-FFF2-40B4-BE49-F238E27FC236}">
              <a16:creationId xmlns:a16="http://schemas.microsoft.com/office/drawing/2014/main" id="{00000000-0008-0000-0800-0000B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8" name="Text Box 228">
          <a:extLst>
            <a:ext uri="{FF2B5EF4-FFF2-40B4-BE49-F238E27FC236}">
              <a16:creationId xmlns:a16="http://schemas.microsoft.com/office/drawing/2014/main" id="{00000000-0008-0000-0800-0000B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9" name="Text Box 229">
          <a:extLst>
            <a:ext uri="{FF2B5EF4-FFF2-40B4-BE49-F238E27FC236}">
              <a16:creationId xmlns:a16="http://schemas.microsoft.com/office/drawing/2014/main" id="{00000000-0008-0000-0800-0000B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0" name="Text Box 230">
          <a:extLst>
            <a:ext uri="{FF2B5EF4-FFF2-40B4-BE49-F238E27FC236}">
              <a16:creationId xmlns:a16="http://schemas.microsoft.com/office/drawing/2014/main" id="{00000000-0008-0000-0800-0000B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1" name="Text Box 231">
          <a:extLst>
            <a:ext uri="{FF2B5EF4-FFF2-40B4-BE49-F238E27FC236}">
              <a16:creationId xmlns:a16="http://schemas.microsoft.com/office/drawing/2014/main" id="{00000000-0008-0000-0800-0000B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2" name="Text Box 232">
          <a:extLst>
            <a:ext uri="{FF2B5EF4-FFF2-40B4-BE49-F238E27FC236}">
              <a16:creationId xmlns:a16="http://schemas.microsoft.com/office/drawing/2014/main" id="{00000000-0008-0000-0800-0000B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3" name="Text Box 233">
          <a:extLst>
            <a:ext uri="{FF2B5EF4-FFF2-40B4-BE49-F238E27FC236}">
              <a16:creationId xmlns:a16="http://schemas.microsoft.com/office/drawing/2014/main" id="{00000000-0008-0000-0800-0000B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4" name="Text Box 234">
          <a:extLst>
            <a:ext uri="{FF2B5EF4-FFF2-40B4-BE49-F238E27FC236}">
              <a16:creationId xmlns:a16="http://schemas.microsoft.com/office/drawing/2014/main" id="{00000000-0008-0000-0800-0000C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5" name="Text Box 235">
          <a:extLst>
            <a:ext uri="{FF2B5EF4-FFF2-40B4-BE49-F238E27FC236}">
              <a16:creationId xmlns:a16="http://schemas.microsoft.com/office/drawing/2014/main" id="{00000000-0008-0000-0800-0000C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6" name="Text Box 236">
          <a:extLst>
            <a:ext uri="{FF2B5EF4-FFF2-40B4-BE49-F238E27FC236}">
              <a16:creationId xmlns:a16="http://schemas.microsoft.com/office/drawing/2014/main" id="{00000000-0008-0000-0800-0000C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7" name="Text Box 237">
          <a:extLst>
            <a:ext uri="{FF2B5EF4-FFF2-40B4-BE49-F238E27FC236}">
              <a16:creationId xmlns:a16="http://schemas.microsoft.com/office/drawing/2014/main" id="{00000000-0008-0000-0800-0000C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8" name="Text Box 238">
          <a:extLst>
            <a:ext uri="{FF2B5EF4-FFF2-40B4-BE49-F238E27FC236}">
              <a16:creationId xmlns:a16="http://schemas.microsoft.com/office/drawing/2014/main" id="{00000000-0008-0000-0800-0000C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9" name="Text Box 239">
          <a:extLst>
            <a:ext uri="{FF2B5EF4-FFF2-40B4-BE49-F238E27FC236}">
              <a16:creationId xmlns:a16="http://schemas.microsoft.com/office/drawing/2014/main" id="{00000000-0008-0000-0800-0000C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0" name="Text Box 240">
          <a:extLst>
            <a:ext uri="{FF2B5EF4-FFF2-40B4-BE49-F238E27FC236}">
              <a16:creationId xmlns:a16="http://schemas.microsoft.com/office/drawing/2014/main" id="{00000000-0008-0000-0800-0000C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1" name="Text Box 241">
          <a:extLst>
            <a:ext uri="{FF2B5EF4-FFF2-40B4-BE49-F238E27FC236}">
              <a16:creationId xmlns:a16="http://schemas.microsoft.com/office/drawing/2014/main" id="{00000000-0008-0000-0800-0000C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2" name="Text Box 242">
          <a:extLst>
            <a:ext uri="{FF2B5EF4-FFF2-40B4-BE49-F238E27FC236}">
              <a16:creationId xmlns:a16="http://schemas.microsoft.com/office/drawing/2014/main" id="{00000000-0008-0000-0800-0000C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3" name="Text Box 243">
          <a:extLst>
            <a:ext uri="{FF2B5EF4-FFF2-40B4-BE49-F238E27FC236}">
              <a16:creationId xmlns:a16="http://schemas.microsoft.com/office/drawing/2014/main" id="{00000000-0008-0000-0800-0000C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4" name="Text Box 244">
          <a:extLst>
            <a:ext uri="{FF2B5EF4-FFF2-40B4-BE49-F238E27FC236}">
              <a16:creationId xmlns:a16="http://schemas.microsoft.com/office/drawing/2014/main" id="{00000000-0008-0000-0800-0000C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5" name="Text Box 245">
          <a:extLst>
            <a:ext uri="{FF2B5EF4-FFF2-40B4-BE49-F238E27FC236}">
              <a16:creationId xmlns:a16="http://schemas.microsoft.com/office/drawing/2014/main" id="{00000000-0008-0000-0800-0000C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6" name="Text Box 246">
          <a:extLst>
            <a:ext uri="{FF2B5EF4-FFF2-40B4-BE49-F238E27FC236}">
              <a16:creationId xmlns:a16="http://schemas.microsoft.com/office/drawing/2014/main" id="{00000000-0008-0000-0800-0000C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7" name="Text Box 247">
          <a:extLst>
            <a:ext uri="{FF2B5EF4-FFF2-40B4-BE49-F238E27FC236}">
              <a16:creationId xmlns:a16="http://schemas.microsoft.com/office/drawing/2014/main" id="{00000000-0008-0000-0800-0000C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8" name="Text Box 248">
          <a:extLst>
            <a:ext uri="{FF2B5EF4-FFF2-40B4-BE49-F238E27FC236}">
              <a16:creationId xmlns:a16="http://schemas.microsoft.com/office/drawing/2014/main" id="{00000000-0008-0000-0800-0000C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9" name="Text Box 249">
          <a:extLst>
            <a:ext uri="{FF2B5EF4-FFF2-40B4-BE49-F238E27FC236}">
              <a16:creationId xmlns:a16="http://schemas.microsoft.com/office/drawing/2014/main" id="{00000000-0008-0000-0800-0000C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0" name="Text Box 250">
          <a:extLst>
            <a:ext uri="{FF2B5EF4-FFF2-40B4-BE49-F238E27FC236}">
              <a16:creationId xmlns:a16="http://schemas.microsoft.com/office/drawing/2014/main" id="{00000000-0008-0000-0800-0000D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1" name="Text Box 251">
          <a:extLst>
            <a:ext uri="{FF2B5EF4-FFF2-40B4-BE49-F238E27FC236}">
              <a16:creationId xmlns:a16="http://schemas.microsoft.com/office/drawing/2014/main" id="{00000000-0008-0000-0800-0000D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2" name="Text Box 252">
          <a:extLst>
            <a:ext uri="{FF2B5EF4-FFF2-40B4-BE49-F238E27FC236}">
              <a16:creationId xmlns:a16="http://schemas.microsoft.com/office/drawing/2014/main" id="{00000000-0008-0000-0800-0000D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3" name="Text Box 253">
          <a:extLst>
            <a:ext uri="{FF2B5EF4-FFF2-40B4-BE49-F238E27FC236}">
              <a16:creationId xmlns:a16="http://schemas.microsoft.com/office/drawing/2014/main" id="{00000000-0008-0000-0800-0000D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4" name="Text Box 254">
          <a:extLst>
            <a:ext uri="{FF2B5EF4-FFF2-40B4-BE49-F238E27FC236}">
              <a16:creationId xmlns:a16="http://schemas.microsoft.com/office/drawing/2014/main" id="{00000000-0008-0000-0800-0000D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5" name="Text Box 255">
          <a:extLst>
            <a:ext uri="{FF2B5EF4-FFF2-40B4-BE49-F238E27FC236}">
              <a16:creationId xmlns:a16="http://schemas.microsoft.com/office/drawing/2014/main" id="{00000000-0008-0000-0800-0000D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6" name="Text Box 256">
          <a:extLst>
            <a:ext uri="{FF2B5EF4-FFF2-40B4-BE49-F238E27FC236}">
              <a16:creationId xmlns:a16="http://schemas.microsoft.com/office/drawing/2014/main" id="{00000000-0008-0000-0800-0000D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7" name="Text Box 257">
          <a:extLst>
            <a:ext uri="{FF2B5EF4-FFF2-40B4-BE49-F238E27FC236}">
              <a16:creationId xmlns:a16="http://schemas.microsoft.com/office/drawing/2014/main" id="{00000000-0008-0000-0800-0000D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8" name="Text Box 258">
          <a:extLst>
            <a:ext uri="{FF2B5EF4-FFF2-40B4-BE49-F238E27FC236}">
              <a16:creationId xmlns:a16="http://schemas.microsoft.com/office/drawing/2014/main" id="{00000000-0008-0000-0800-0000D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9" name="Text Box 259">
          <a:extLst>
            <a:ext uri="{FF2B5EF4-FFF2-40B4-BE49-F238E27FC236}">
              <a16:creationId xmlns:a16="http://schemas.microsoft.com/office/drawing/2014/main" id="{00000000-0008-0000-0800-0000D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0" name="Text Box 260">
          <a:extLst>
            <a:ext uri="{FF2B5EF4-FFF2-40B4-BE49-F238E27FC236}">
              <a16:creationId xmlns:a16="http://schemas.microsoft.com/office/drawing/2014/main" id="{00000000-0008-0000-0800-0000D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1" name="Text Box 261">
          <a:extLst>
            <a:ext uri="{FF2B5EF4-FFF2-40B4-BE49-F238E27FC236}">
              <a16:creationId xmlns:a16="http://schemas.microsoft.com/office/drawing/2014/main" id="{00000000-0008-0000-0800-0000D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2" name="Text Box 262">
          <a:extLst>
            <a:ext uri="{FF2B5EF4-FFF2-40B4-BE49-F238E27FC236}">
              <a16:creationId xmlns:a16="http://schemas.microsoft.com/office/drawing/2014/main" id="{00000000-0008-0000-0800-0000D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3" name="Text Box 263">
          <a:extLst>
            <a:ext uri="{FF2B5EF4-FFF2-40B4-BE49-F238E27FC236}">
              <a16:creationId xmlns:a16="http://schemas.microsoft.com/office/drawing/2014/main" id="{00000000-0008-0000-0800-0000D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4" name="Text Box 264">
          <a:extLst>
            <a:ext uri="{FF2B5EF4-FFF2-40B4-BE49-F238E27FC236}">
              <a16:creationId xmlns:a16="http://schemas.microsoft.com/office/drawing/2014/main" id="{00000000-0008-0000-0800-0000D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5" name="Text Box 265">
          <a:extLst>
            <a:ext uri="{FF2B5EF4-FFF2-40B4-BE49-F238E27FC236}">
              <a16:creationId xmlns:a16="http://schemas.microsoft.com/office/drawing/2014/main" id="{00000000-0008-0000-0800-0000D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6" name="Text Box 266">
          <a:extLst>
            <a:ext uri="{FF2B5EF4-FFF2-40B4-BE49-F238E27FC236}">
              <a16:creationId xmlns:a16="http://schemas.microsoft.com/office/drawing/2014/main" id="{00000000-0008-0000-0800-0000E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7" name="Text Box 267">
          <a:extLst>
            <a:ext uri="{FF2B5EF4-FFF2-40B4-BE49-F238E27FC236}">
              <a16:creationId xmlns:a16="http://schemas.microsoft.com/office/drawing/2014/main" id="{00000000-0008-0000-0800-0000E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8" name="Text Box 268">
          <a:extLst>
            <a:ext uri="{FF2B5EF4-FFF2-40B4-BE49-F238E27FC236}">
              <a16:creationId xmlns:a16="http://schemas.microsoft.com/office/drawing/2014/main" id="{00000000-0008-0000-0800-0000E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9" name="Text Box 269">
          <a:extLst>
            <a:ext uri="{FF2B5EF4-FFF2-40B4-BE49-F238E27FC236}">
              <a16:creationId xmlns:a16="http://schemas.microsoft.com/office/drawing/2014/main" id="{00000000-0008-0000-0800-0000E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0" name="Text Box 270">
          <a:extLst>
            <a:ext uri="{FF2B5EF4-FFF2-40B4-BE49-F238E27FC236}">
              <a16:creationId xmlns:a16="http://schemas.microsoft.com/office/drawing/2014/main" id="{00000000-0008-0000-0800-0000E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1" name="Text Box 271">
          <a:extLst>
            <a:ext uri="{FF2B5EF4-FFF2-40B4-BE49-F238E27FC236}">
              <a16:creationId xmlns:a16="http://schemas.microsoft.com/office/drawing/2014/main" id="{00000000-0008-0000-0800-0000E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2" name="Text Box 272">
          <a:extLst>
            <a:ext uri="{FF2B5EF4-FFF2-40B4-BE49-F238E27FC236}">
              <a16:creationId xmlns:a16="http://schemas.microsoft.com/office/drawing/2014/main" id="{00000000-0008-0000-0800-0000E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3" name="Text Box 273">
          <a:extLst>
            <a:ext uri="{FF2B5EF4-FFF2-40B4-BE49-F238E27FC236}">
              <a16:creationId xmlns:a16="http://schemas.microsoft.com/office/drawing/2014/main" id="{00000000-0008-0000-0800-0000E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4" name="Text Box 274">
          <a:extLst>
            <a:ext uri="{FF2B5EF4-FFF2-40B4-BE49-F238E27FC236}">
              <a16:creationId xmlns:a16="http://schemas.microsoft.com/office/drawing/2014/main" id="{00000000-0008-0000-0800-0000E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5" name="Text Box 275">
          <a:extLst>
            <a:ext uri="{FF2B5EF4-FFF2-40B4-BE49-F238E27FC236}">
              <a16:creationId xmlns:a16="http://schemas.microsoft.com/office/drawing/2014/main" id="{00000000-0008-0000-0800-0000E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6" name="Text Box 276">
          <a:extLst>
            <a:ext uri="{FF2B5EF4-FFF2-40B4-BE49-F238E27FC236}">
              <a16:creationId xmlns:a16="http://schemas.microsoft.com/office/drawing/2014/main" id="{00000000-0008-0000-0800-0000E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7" name="Text Box 277">
          <a:extLst>
            <a:ext uri="{FF2B5EF4-FFF2-40B4-BE49-F238E27FC236}">
              <a16:creationId xmlns:a16="http://schemas.microsoft.com/office/drawing/2014/main" id="{00000000-0008-0000-0800-0000E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8" name="Text Box 278">
          <a:extLst>
            <a:ext uri="{FF2B5EF4-FFF2-40B4-BE49-F238E27FC236}">
              <a16:creationId xmlns:a16="http://schemas.microsoft.com/office/drawing/2014/main" id="{00000000-0008-0000-0800-0000E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9" name="Text Box 279">
          <a:extLst>
            <a:ext uri="{FF2B5EF4-FFF2-40B4-BE49-F238E27FC236}">
              <a16:creationId xmlns:a16="http://schemas.microsoft.com/office/drawing/2014/main" id="{00000000-0008-0000-0800-0000E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0" name="Text Box 280">
          <a:extLst>
            <a:ext uri="{FF2B5EF4-FFF2-40B4-BE49-F238E27FC236}">
              <a16:creationId xmlns:a16="http://schemas.microsoft.com/office/drawing/2014/main" id="{00000000-0008-0000-0800-0000E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1" name="Text Box 281">
          <a:extLst>
            <a:ext uri="{FF2B5EF4-FFF2-40B4-BE49-F238E27FC236}">
              <a16:creationId xmlns:a16="http://schemas.microsoft.com/office/drawing/2014/main" id="{00000000-0008-0000-0800-0000E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2" name="Text Box 282">
          <a:extLst>
            <a:ext uri="{FF2B5EF4-FFF2-40B4-BE49-F238E27FC236}">
              <a16:creationId xmlns:a16="http://schemas.microsoft.com/office/drawing/2014/main" id="{00000000-0008-0000-0800-0000F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3" name="Text Box 283">
          <a:extLst>
            <a:ext uri="{FF2B5EF4-FFF2-40B4-BE49-F238E27FC236}">
              <a16:creationId xmlns:a16="http://schemas.microsoft.com/office/drawing/2014/main" id="{00000000-0008-0000-0800-0000F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4" name="Text Box 284">
          <a:extLst>
            <a:ext uri="{FF2B5EF4-FFF2-40B4-BE49-F238E27FC236}">
              <a16:creationId xmlns:a16="http://schemas.microsoft.com/office/drawing/2014/main" id="{00000000-0008-0000-0800-0000F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5" name="Text Box 285">
          <a:extLst>
            <a:ext uri="{FF2B5EF4-FFF2-40B4-BE49-F238E27FC236}">
              <a16:creationId xmlns:a16="http://schemas.microsoft.com/office/drawing/2014/main" id="{00000000-0008-0000-0800-0000F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6" name="Text Box 286">
          <a:extLst>
            <a:ext uri="{FF2B5EF4-FFF2-40B4-BE49-F238E27FC236}">
              <a16:creationId xmlns:a16="http://schemas.microsoft.com/office/drawing/2014/main" id="{00000000-0008-0000-0800-0000F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7" name="Text Box 287">
          <a:extLst>
            <a:ext uri="{FF2B5EF4-FFF2-40B4-BE49-F238E27FC236}">
              <a16:creationId xmlns:a16="http://schemas.microsoft.com/office/drawing/2014/main" id="{00000000-0008-0000-0800-0000F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8" name="Text Box 288">
          <a:extLst>
            <a:ext uri="{FF2B5EF4-FFF2-40B4-BE49-F238E27FC236}">
              <a16:creationId xmlns:a16="http://schemas.microsoft.com/office/drawing/2014/main" id="{00000000-0008-0000-0800-0000F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9" name="Text Box 289">
          <a:extLst>
            <a:ext uri="{FF2B5EF4-FFF2-40B4-BE49-F238E27FC236}">
              <a16:creationId xmlns:a16="http://schemas.microsoft.com/office/drawing/2014/main" id="{00000000-0008-0000-0800-0000F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0" name="Text Box 290">
          <a:extLst>
            <a:ext uri="{FF2B5EF4-FFF2-40B4-BE49-F238E27FC236}">
              <a16:creationId xmlns:a16="http://schemas.microsoft.com/office/drawing/2014/main" id="{00000000-0008-0000-0800-0000F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1" name="Text Box 291">
          <a:extLst>
            <a:ext uri="{FF2B5EF4-FFF2-40B4-BE49-F238E27FC236}">
              <a16:creationId xmlns:a16="http://schemas.microsoft.com/office/drawing/2014/main" id="{00000000-0008-0000-0800-0000F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2" name="Text Box 292">
          <a:extLst>
            <a:ext uri="{FF2B5EF4-FFF2-40B4-BE49-F238E27FC236}">
              <a16:creationId xmlns:a16="http://schemas.microsoft.com/office/drawing/2014/main" id="{00000000-0008-0000-0800-0000F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3" name="Text Box 293">
          <a:extLst>
            <a:ext uri="{FF2B5EF4-FFF2-40B4-BE49-F238E27FC236}">
              <a16:creationId xmlns:a16="http://schemas.microsoft.com/office/drawing/2014/main" id="{00000000-0008-0000-0800-0000F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4" name="Text Box 294">
          <a:extLst>
            <a:ext uri="{FF2B5EF4-FFF2-40B4-BE49-F238E27FC236}">
              <a16:creationId xmlns:a16="http://schemas.microsoft.com/office/drawing/2014/main" id="{00000000-0008-0000-0800-0000F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5" name="Text Box 295">
          <a:extLst>
            <a:ext uri="{FF2B5EF4-FFF2-40B4-BE49-F238E27FC236}">
              <a16:creationId xmlns:a16="http://schemas.microsoft.com/office/drawing/2014/main" id="{00000000-0008-0000-0800-0000F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6" name="Text Box 296">
          <a:extLst>
            <a:ext uri="{FF2B5EF4-FFF2-40B4-BE49-F238E27FC236}">
              <a16:creationId xmlns:a16="http://schemas.microsoft.com/office/drawing/2014/main" id="{00000000-0008-0000-0800-0000F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7" name="Text Box 297">
          <a:extLst>
            <a:ext uri="{FF2B5EF4-FFF2-40B4-BE49-F238E27FC236}">
              <a16:creationId xmlns:a16="http://schemas.microsoft.com/office/drawing/2014/main" id="{00000000-0008-0000-0800-0000F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8" name="Text Box 298">
          <a:extLst>
            <a:ext uri="{FF2B5EF4-FFF2-40B4-BE49-F238E27FC236}">
              <a16:creationId xmlns:a16="http://schemas.microsoft.com/office/drawing/2014/main" id="{00000000-0008-0000-0800-00000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9" name="Text Box 299">
          <a:extLst>
            <a:ext uri="{FF2B5EF4-FFF2-40B4-BE49-F238E27FC236}">
              <a16:creationId xmlns:a16="http://schemas.microsoft.com/office/drawing/2014/main" id="{00000000-0008-0000-0800-00000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0" name="Text Box 300">
          <a:extLst>
            <a:ext uri="{FF2B5EF4-FFF2-40B4-BE49-F238E27FC236}">
              <a16:creationId xmlns:a16="http://schemas.microsoft.com/office/drawing/2014/main" id="{00000000-0008-0000-0800-00000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1" name="Text Box 301">
          <a:extLst>
            <a:ext uri="{FF2B5EF4-FFF2-40B4-BE49-F238E27FC236}">
              <a16:creationId xmlns:a16="http://schemas.microsoft.com/office/drawing/2014/main" id="{00000000-0008-0000-0800-00000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2" name="Text Box 302">
          <a:extLst>
            <a:ext uri="{FF2B5EF4-FFF2-40B4-BE49-F238E27FC236}">
              <a16:creationId xmlns:a16="http://schemas.microsoft.com/office/drawing/2014/main" id="{00000000-0008-0000-0800-00000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3" name="Text Box 303">
          <a:extLst>
            <a:ext uri="{FF2B5EF4-FFF2-40B4-BE49-F238E27FC236}">
              <a16:creationId xmlns:a16="http://schemas.microsoft.com/office/drawing/2014/main" id="{00000000-0008-0000-0800-00000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4" name="Text Box 304">
          <a:extLst>
            <a:ext uri="{FF2B5EF4-FFF2-40B4-BE49-F238E27FC236}">
              <a16:creationId xmlns:a16="http://schemas.microsoft.com/office/drawing/2014/main" id="{00000000-0008-0000-0800-00000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5" name="Text Box 305">
          <a:extLst>
            <a:ext uri="{FF2B5EF4-FFF2-40B4-BE49-F238E27FC236}">
              <a16:creationId xmlns:a16="http://schemas.microsoft.com/office/drawing/2014/main" id="{00000000-0008-0000-0800-00000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6" name="Text Box 306">
          <a:extLst>
            <a:ext uri="{FF2B5EF4-FFF2-40B4-BE49-F238E27FC236}">
              <a16:creationId xmlns:a16="http://schemas.microsoft.com/office/drawing/2014/main" id="{00000000-0008-0000-0800-00000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7" name="Text Box 307">
          <a:extLst>
            <a:ext uri="{FF2B5EF4-FFF2-40B4-BE49-F238E27FC236}">
              <a16:creationId xmlns:a16="http://schemas.microsoft.com/office/drawing/2014/main" id="{00000000-0008-0000-0800-00000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8" name="Text Box 308">
          <a:extLst>
            <a:ext uri="{FF2B5EF4-FFF2-40B4-BE49-F238E27FC236}">
              <a16:creationId xmlns:a16="http://schemas.microsoft.com/office/drawing/2014/main" id="{00000000-0008-0000-0800-00000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9" name="Text Box 309">
          <a:extLst>
            <a:ext uri="{FF2B5EF4-FFF2-40B4-BE49-F238E27FC236}">
              <a16:creationId xmlns:a16="http://schemas.microsoft.com/office/drawing/2014/main" id="{00000000-0008-0000-0800-00000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0" name="Text Box 310">
          <a:extLst>
            <a:ext uri="{FF2B5EF4-FFF2-40B4-BE49-F238E27FC236}">
              <a16:creationId xmlns:a16="http://schemas.microsoft.com/office/drawing/2014/main" id="{00000000-0008-0000-0800-00000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1" name="Text Box 311">
          <a:extLst>
            <a:ext uri="{FF2B5EF4-FFF2-40B4-BE49-F238E27FC236}">
              <a16:creationId xmlns:a16="http://schemas.microsoft.com/office/drawing/2014/main" id="{00000000-0008-0000-0800-00000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2" name="Text Box 312">
          <a:extLst>
            <a:ext uri="{FF2B5EF4-FFF2-40B4-BE49-F238E27FC236}">
              <a16:creationId xmlns:a16="http://schemas.microsoft.com/office/drawing/2014/main" id="{00000000-0008-0000-0800-00000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3" name="Text Box 313">
          <a:extLst>
            <a:ext uri="{FF2B5EF4-FFF2-40B4-BE49-F238E27FC236}">
              <a16:creationId xmlns:a16="http://schemas.microsoft.com/office/drawing/2014/main" id="{00000000-0008-0000-0800-00000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4" name="Text Box 314">
          <a:extLst>
            <a:ext uri="{FF2B5EF4-FFF2-40B4-BE49-F238E27FC236}">
              <a16:creationId xmlns:a16="http://schemas.microsoft.com/office/drawing/2014/main" id="{00000000-0008-0000-0800-00001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5" name="Text Box 315">
          <a:extLst>
            <a:ext uri="{FF2B5EF4-FFF2-40B4-BE49-F238E27FC236}">
              <a16:creationId xmlns:a16="http://schemas.microsoft.com/office/drawing/2014/main" id="{00000000-0008-0000-0800-00001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6" name="Text Box 316">
          <a:extLst>
            <a:ext uri="{FF2B5EF4-FFF2-40B4-BE49-F238E27FC236}">
              <a16:creationId xmlns:a16="http://schemas.microsoft.com/office/drawing/2014/main" id="{00000000-0008-0000-0800-00001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7" name="Text Box 317">
          <a:extLst>
            <a:ext uri="{FF2B5EF4-FFF2-40B4-BE49-F238E27FC236}">
              <a16:creationId xmlns:a16="http://schemas.microsoft.com/office/drawing/2014/main" id="{00000000-0008-0000-0800-00001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8" name="Text Box 318">
          <a:extLst>
            <a:ext uri="{FF2B5EF4-FFF2-40B4-BE49-F238E27FC236}">
              <a16:creationId xmlns:a16="http://schemas.microsoft.com/office/drawing/2014/main" id="{00000000-0008-0000-0800-00001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9" name="Text Box 319">
          <a:extLst>
            <a:ext uri="{FF2B5EF4-FFF2-40B4-BE49-F238E27FC236}">
              <a16:creationId xmlns:a16="http://schemas.microsoft.com/office/drawing/2014/main" id="{00000000-0008-0000-0800-00001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10" name="Text Box 320">
          <a:extLst>
            <a:ext uri="{FF2B5EF4-FFF2-40B4-BE49-F238E27FC236}">
              <a16:creationId xmlns:a16="http://schemas.microsoft.com/office/drawing/2014/main" id="{00000000-0008-0000-0800-00001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1" name="Text Box 28">
          <a:extLst>
            <a:ext uri="{FF2B5EF4-FFF2-40B4-BE49-F238E27FC236}">
              <a16:creationId xmlns:a16="http://schemas.microsoft.com/office/drawing/2014/main" id="{00000000-0008-0000-0800-00001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2" name="Text Box 29">
          <a:extLst>
            <a:ext uri="{FF2B5EF4-FFF2-40B4-BE49-F238E27FC236}">
              <a16:creationId xmlns:a16="http://schemas.microsoft.com/office/drawing/2014/main" id="{00000000-0008-0000-0800-00001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3" name="Text Box 30">
          <a:extLst>
            <a:ext uri="{FF2B5EF4-FFF2-40B4-BE49-F238E27FC236}">
              <a16:creationId xmlns:a16="http://schemas.microsoft.com/office/drawing/2014/main" id="{00000000-0008-0000-0800-00001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4" name="Text Box 31">
          <a:extLst>
            <a:ext uri="{FF2B5EF4-FFF2-40B4-BE49-F238E27FC236}">
              <a16:creationId xmlns:a16="http://schemas.microsoft.com/office/drawing/2014/main" id="{00000000-0008-0000-0800-00001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5" name="Text Box 32">
          <a:extLst>
            <a:ext uri="{FF2B5EF4-FFF2-40B4-BE49-F238E27FC236}">
              <a16:creationId xmlns:a16="http://schemas.microsoft.com/office/drawing/2014/main" id="{00000000-0008-0000-0800-00001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6" name="Text Box 33">
          <a:extLst>
            <a:ext uri="{FF2B5EF4-FFF2-40B4-BE49-F238E27FC236}">
              <a16:creationId xmlns:a16="http://schemas.microsoft.com/office/drawing/2014/main" id="{00000000-0008-0000-0800-00001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7" name="Text Box 34">
          <a:extLst>
            <a:ext uri="{FF2B5EF4-FFF2-40B4-BE49-F238E27FC236}">
              <a16:creationId xmlns:a16="http://schemas.microsoft.com/office/drawing/2014/main" id="{00000000-0008-0000-0800-00001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8" name="Text Box 35">
          <a:extLst>
            <a:ext uri="{FF2B5EF4-FFF2-40B4-BE49-F238E27FC236}">
              <a16:creationId xmlns:a16="http://schemas.microsoft.com/office/drawing/2014/main" id="{00000000-0008-0000-0800-00001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9" name="Text Box 36">
          <a:extLst>
            <a:ext uri="{FF2B5EF4-FFF2-40B4-BE49-F238E27FC236}">
              <a16:creationId xmlns:a16="http://schemas.microsoft.com/office/drawing/2014/main" id="{00000000-0008-0000-0800-00001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0" name="Text Box 37">
          <a:extLst>
            <a:ext uri="{FF2B5EF4-FFF2-40B4-BE49-F238E27FC236}">
              <a16:creationId xmlns:a16="http://schemas.microsoft.com/office/drawing/2014/main" id="{00000000-0008-0000-0800-00002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1" name="Text Box 38">
          <a:extLst>
            <a:ext uri="{FF2B5EF4-FFF2-40B4-BE49-F238E27FC236}">
              <a16:creationId xmlns:a16="http://schemas.microsoft.com/office/drawing/2014/main" id="{00000000-0008-0000-0800-00002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2" name="Text Box 39">
          <a:extLst>
            <a:ext uri="{FF2B5EF4-FFF2-40B4-BE49-F238E27FC236}">
              <a16:creationId xmlns:a16="http://schemas.microsoft.com/office/drawing/2014/main" id="{00000000-0008-0000-0800-00002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3" name="Text Box 40">
          <a:extLst>
            <a:ext uri="{FF2B5EF4-FFF2-40B4-BE49-F238E27FC236}">
              <a16:creationId xmlns:a16="http://schemas.microsoft.com/office/drawing/2014/main" id="{00000000-0008-0000-0800-00002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4" name="Text Box 41">
          <a:extLst>
            <a:ext uri="{FF2B5EF4-FFF2-40B4-BE49-F238E27FC236}">
              <a16:creationId xmlns:a16="http://schemas.microsoft.com/office/drawing/2014/main" id="{00000000-0008-0000-0800-00002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5" name="Text Box 42">
          <a:extLst>
            <a:ext uri="{FF2B5EF4-FFF2-40B4-BE49-F238E27FC236}">
              <a16:creationId xmlns:a16="http://schemas.microsoft.com/office/drawing/2014/main" id="{00000000-0008-0000-0800-00002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6" name="Text Box 43">
          <a:extLst>
            <a:ext uri="{FF2B5EF4-FFF2-40B4-BE49-F238E27FC236}">
              <a16:creationId xmlns:a16="http://schemas.microsoft.com/office/drawing/2014/main" id="{00000000-0008-0000-0800-00002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7" name="Text Box 44">
          <a:extLst>
            <a:ext uri="{FF2B5EF4-FFF2-40B4-BE49-F238E27FC236}">
              <a16:creationId xmlns:a16="http://schemas.microsoft.com/office/drawing/2014/main" id="{00000000-0008-0000-0800-00002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8" name="Text Box 45">
          <a:extLst>
            <a:ext uri="{FF2B5EF4-FFF2-40B4-BE49-F238E27FC236}">
              <a16:creationId xmlns:a16="http://schemas.microsoft.com/office/drawing/2014/main" id="{00000000-0008-0000-0800-00002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9" name="Text Box 46">
          <a:extLst>
            <a:ext uri="{FF2B5EF4-FFF2-40B4-BE49-F238E27FC236}">
              <a16:creationId xmlns:a16="http://schemas.microsoft.com/office/drawing/2014/main" id="{00000000-0008-0000-0800-00002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0" name="Text Box 47">
          <a:extLst>
            <a:ext uri="{FF2B5EF4-FFF2-40B4-BE49-F238E27FC236}">
              <a16:creationId xmlns:a16="http://schemas.microsoft.com/office/drawing/2014/main" id="{00000000-0008-0000-0800-00002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1" name="Text Box 48">
          <a:extLst>
            <a:ext uri="{FF2B5EF4-FFF2-40B4-BE49-F238E27FC236}">
              <a16:creationId xmlns:a16="http://schemas.microsoft.com/office/drawing/2014/main" id="{00000000-0008-0000-0800-00002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2" name="Text Box 49">
          <a:extLst>
            <a:ext uri="{FF2B5EF4-FFF2-40B4-BE49-F238E27FC236}">
              <a16:creationId xmlns:a16="http://schemas.microsoft.com/office/drawing/2014/main" id="{00000000-0008-0000-0800-00002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3" name="Text Box 50">
          <a:extLst>
            <a:ext uri="{FF2B5EF4-FFF2-40B4-BE49-F238E27FC236}">
              <a16:creationId xmlns:a16="http://schemas.microsoft.com/office/drawing/2014/main" id="{00000000-0008-0000-0800-00002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4" name="Text Box 51">
          <a:extLst>
            <a:ext uri="{FF2B5EF4-FFF2-40B4-BE49-F238E27FC236}">
              <a16:creationId xmlns:a16="http://schemas.microsoft.com/office/drawing/2014/main" id="{00000000-0008-0000-0800-00002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5" name="Text Box 52">
          <a:extLst>
            <a:ext uri="{FF2B5EF4-FFF2-40B4-BE49-F238E27FC236}">
              <a16:creationId xmlns:a16="http://schemas.microsoft.com/office/drawing/2014/main" id="{00000000-0008-0000-0800-00002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6" name="Text Box 53">
          <a:extLst>
            <a:ext uri="{FF2B5EF4-FFF2-40B4-BE49-F238E27FC236}">
              <a16:creationId xmlns:a16="http://schemas.microsoft.com/office/drawing/2014/main" id="{00000000-0008-0000-0800-00003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7" name="Text Box 54">
          <a:extLst>
            <a:ext uri="{FF2B5EF4-FFF2-40B4-BE49-F238E27FC236}">
              <a16:creationId xmlns:a16="http://schemas.microsoft.com/office/drawing/2014/main" id="{00000000-0008-0000-0800-00003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8" name="Text Box 55">
          <a:extLst>
            <a:ext uri="{FF2B5EF4-FFF2-40B4-BE49-F238E27FC236}">
              <a16:creationId xmlns:a16="http://schemas.microsoft.com/office/drawing/2014/main" id="{00000000-0008-0000-0800-00003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9" name="Text Box 56">
          <a:extLst>
            <a:ext uri="{FF2B5EF4-FFF2-40B4-BE49-F238E27FC236}">
              <a16:creationId xmlns:a16="http://schemas.microsoft.com/office/drawing/2014/main" id="{00000000-0008-0000-0800-00003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0" name="Text Box 57">
          <a:extLst>
            <a:ext uri="{FF2B5EF4-FFF2-40B4-BE49-F238E27FC236}">
              <a16:creationId xmlns:a16="http://schemas.microsoft.com/office/drawing/2014/main" id="{00000000-0008-0000-0800-00003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1" name="Text Box 58">
          <a:extLst>
            <a:ext uri="{FF2B5EF4-FFF2-40B4-BE49-F238E27FC236}">
              <a16:creationId xmlns:a16="http://schemas.microsoft.com/office/drawing/2014/main" id="{00000000-0008-0000-0800-00003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2" name="Text Box 59">
          <a:extLst>
            <a:ext uri="{FF2B5EF4-FFF2-40B4-BE49-F238E27FC236}">
              <a16:creationId xmlns:a16="http://schemas.microsoft.com/office/drawing/2014/main" id="{00000000-0008-0000-0800-00003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3" name="Text Box 60">
          <a:extLst>
            <a:ext uri="{FF2B5EF4-FFF2-40B4-BE49-F238E27FC236}">
              <a16:creationId xmlns:a16="http://schemas.microsoft.com/office/drawing/2014/main" id="{00000000-0008-0000-0800-00003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4" name="Text Box 61">
          <a:extLst>
            <a:ext uri="{FF2B5EF4-FFF2-40B4-BE49-F238E27FC236}">
              <a16:creationId xmlns:a16="http://schemas.microsoft.com/office/drawing/2014/main" id="{00000000-0008-0000-0800-00003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5" name="Text Box 62">
          <a:extLst>
            <a:ext uri="{FF2B5EF4-FFF2-40B4-BE49-F238E27FC236}">
              <a16:creationId xmlns:a16="http://schemas.microsoft.com/office/drawing/2014/main" id="{00000000-0008-0000-0800-00003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6" name="Text Box 63">
          <a:extLst>
            <a:ext uri="{FF2B5EF4-FFF2-40B4-BE49-F238E27FC236}">
              <a16:creationId xmlns:a16="http://schemas.microsoft.com/office/drawing/2014/main" id="{00000000-0008-0000-0800-00003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7" name="Text Box 64">
          <a:extLst>
            <a:ext uri="{FF2B5EF4-FFF2-40B4-BE49-F238E27FC236}">
              <a16:creationId xmlns:a16="http://schemas.microsoft.com/office/drawing/2014/main" id="{00000000-0008-0000-0800-00003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8" name="Text Box 65">
          <a:extLst>
            <a:ext uri="{FF2B5EF4-FFF2-40B4-BE49-F238E27FC236}">
              <a16:creationId xmlns:a16="http://schemas.microsoft.com/office/drawing/2014/main" id="{00000000-0008-0000-0800-00003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9" name="Text Box 66">
          <a:extLst>
            <a:ext uri="{FF2B5EF4-FFF2-40B4-BE49-F238E27FC236}">
              <a16:creationId xmlns:a16="http://schemas.microsoft.com/office/drawing/2014/main" id="{00000000-0008-0000-0800-00003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0" name="Text Box 67">
          <a:extLst>
            <a:ext uri="{FF2B5EF4-FFF2-40B4-BE49-F238E27FC236}">
              <a16:creationId xmlns:a16="http://schemas.microsoft.com/office/drawing/2014/main" id="{00000000-0008-0000-0800-00003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1" name="Text Box 68">
          <a:extLst>
            <a:ext uri="{FF2B5EF4-FFF2-40B4-BE49-F238E27FC236}">
              <a16:creationId xmlns:a16="http://schemas.microsoft.com/office/drawing/2014/main" id="{00000000-0008-0000-0800-00003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2" name="Text Box 69">
          <a:extLst>
            <a:ext uri="{FF2B5EF4-FFF2-40B4-BE49-F238E27FC236}">
              <a16:creationId xmlns:a16="http://schemas.microsoft.com/office/drawing/2014/main" id="{00000000-0008-0000-0800-00004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3" name="Text Box 70">
          <a:extLst>
            <a:ext uri="{FF2B5EF4-FFF2-40B4-BE49-F238E27FC236}">
              <a16:creationId xmlns:a16="http://schemas.microsoft.com/office/drawing/2014/main" id="{00000000-0008-0000-0800-00004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4" name="Text Box 71">
          <a:extLst>
            <a:ext uri="{FF2B5EF4-FFF2-40B4-BE49-F238E27FC236}">
              <a16:creationId xmlns:a16="http://schemas.microsoft.com/office/drawing/2014/main" id="{00000000-0008-0000-0800-00004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5" name="Text Box 72">
          <a:extLst>
            <a:ext uri="{FF2B5EF4-FFF2-40B4-BE49-F238E27FC236}">
              <a16:creationId xmlns:a16="http://schemas.microsoft.com/office/drawing/2014/main" id="{00000000-0008-0000-0800-00004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6" name="Text Box 73">
          <a:extLst>
            <a:ext uri="{FF2B5EF4-FFF2-40B4-BE49-F238E27FC236}">
              <a16:creationId xmlns:a16="http://schemas.microsoft.com/office/drawing/2014/main" id="{00000000-0008-0000-0800-00004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7" name="Text Box 74">
          <a:extLst>
            <a:ext uri="{FF2B5EF4-FFF2-40B4-BE49-F238E27FC236}">
              <a16:creationId xmlns:a16="http://schemas.microsoft.com/office/drawing/2014/main" id="{00000000-0008-0000-0800-00004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8" name="Text Box 75">
          <a:extLst>
            <a:ext uri="{FF2B5EF4-FFF2-40B4-BE49-F238E27FC236}">
              <a16:creationId xmlns:a16="http://schemas.microsoft.com/office/drawing/2014/main" id="{00000000-0008-0000-0800-00004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9" name="Text Box 76">
          <a:extLst>
            <a:ext uri="{FF2B5EF4-FFF2-40B4-BE49-F238E27FC236}">
              <a16:creationId xmlns:a16="http://schemas.microsoft.com/office/drawing/2014/main" id="{00000000-0008-0000-0800-00004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0" name="Text Box 77">
          <a:extLst>
            <a:ext uri="{FF2B5EF4-FFF2-40B4-BE49-F238E27FC236}">
              <a16:creationId xmlns:a16="http://schemas.microsoft.com/office/drawing/2014/main" id="{00000000-0008-0000-0800-00004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1" name="Text Box 78">
          <a:extLst>
            <a:ext uri="{FF2B5EF4-FFF2-40B4-BE49-F238E27FC236}">
              <a16:creationId xmlns:a16="http://schemas.microsoft.com/office/drawing/2014/main" id="{00000000-0008-0000-0800-00004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2" name="Text Box 79">
          <a:extLst>
            <a:ext uri="{FF2B5EF4-FFF2-40B4-BE49-F238E27FC236}">
              <a16:creationId xmlns:a16="http://schemas.microsoft.com/office/drawing/2014/main" id="{00000000-0008-0000-0800-00004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3" name="Text Box 80">
          <a:extLst>
            <a:ext uri="{FF2B5EF4-FFF2-40B4-BE49-F238E27FC236}">
              <a16:creationId xmlns:a16="http://schemas.microsoft.com/office/drawing/2014/main" id="{00000000-0008-0000-0800-00004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4" name="Text Box 81">
          <a:extLst>
            <a:ext uri="{FF2B5EF4-FFF2-40B4-BE49-F238E27FC236}">
              <a16:creationId xmlns:a16="http://schemas.microsoft.com/office/drawing/2014/main" id="{00000000-0008-0000-0800-00004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5" name="Text Box 82">
          <a:extLst>
            <a:ext uri="{FF2B5EF4-FFF2-40B4-BE49-F238E27FC236}">
              <a16:creationId xmlns:a16="http://schemas.microsoft.com/office/drawing/2014/main" id="{00000000-0008-0000-0800-00004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6" name="Text Box 83">
          <a:extLst>
            <a:ext uri="{FF2B5EF4-FFF2-40B4-BE49-F238E27FC236}">
              <a16:creationId xmlns:a16="http://schemas.microsoft.com/office/drawing/2014/main" id="{00000000-0008-0000-0800-00004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7" name="Text Box 84">
          <a:extLst>
            <a:ext uri="{FF2B5EF4-FFF2-40B4-BE49-F238E27FC236}">
              <a16:creationId xmlns:a16="http://schemas.microsoft.com/office/drawing/2014/main" id="{00000000-0008-0000-0800-00004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8" name="Text Box 85">
          <a:extLst>
            <a:ext uri="{FF2B5EF4-FFF2-40B4-BE49-F238E27FC236}">
              <a16:creationId xmlns:a16="http://schemas.microsoft.com/office/drawing/2014/main" id="{00000000-0008-0000-0800-00005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9" name="Text Box 86">
          <a:extLst>
            <a:ext uri="{FF2B5EF4-FFF2-40B4-BE49-F238E27FC236}">
              <a16:creationId xmlns:a16="http://schemas.microsoft.com/office/drawing/2014/main" id="{00000000-0008-0000-0800-00005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0" name="Text Box 87">
          <a:extLst>
            <a:ext uri="{FF2B5EF4-FFF2-40B4-BE49-F238E27FC236}">
              <a16:creationId xmlns:a16="http://schemas.microsoft.com/office/drawing/2014/main" id="{00000000-0008-0000-0800-00005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1" name="Text Box 88">
          <a:extLst>
            <a:ext uri="{FF2B5EF4-FFF2-40B4-BE49-F238E27FC236}">
              <a16:creationId xmlns:a16="http://schemas.microsoft.com/office/drawing/2014/main" id="{00000000-0008-0000-0800-00005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2" name="Text Box 89">
          <a:extLst>
            <a:ext uri="{FF2B5EF4-FFF2-40B4-BE49-F238E27FC236}">
              <a16:creationId xmlns:a16="http://schemas.microsoft.com/office/drawing/2014/main" id="{00000000-0008-0000-0800-00005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3" name="Text Box 90">
          <a:extLst>
            <a:ext uri="{FF2B5EF4-FFF2-40B4-BE49-F238E27FC236}">
              <a16:creationId xmlns:a16="http://schemas.microsoft.com/office/drawing/2014/main" id="{00000000-0008-0000-0800-00005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4" name="Text Box 91">
          <a:extLst>
            <a:ext uri="{FF2B5EF4-FFF2-40B4-BE49-F238E27FC236}">
              <a16:creationId xmlns:a16="http://schemas.microsoft.com/office/drawing/2014/main" id="{00000000-0008-0000-0800-00005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5" name="Text Box 92">
          <a:extLst>
            <a:ext uri="{FF2B5EF4-FFF2-40B4-BE49-F238E27FC236}">
              <a16:creationId xmlns:a16="http://schemas.microsoft.com/office/drawing/2014/main" id="{00000000-0008-0000-0800-00005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6" name="Text Box 93">
          <a:extLst>
            <a:ext uri="{FF2B5EF4-FFF2-40B4-BE49-F238E27FC236}">
              <a16:creationId xmlns:a16="http://schemas.microsoft.com/office/drawing/2014/main" id="{00000000-0008-0000-0800-00005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7" name="Text Box 94">
          <a:extLst>
            <a:ext uri="{FF2B5EF4-FFF2-40B4-BE49-F238E27FC236}">
              <a16:creationId xmlns:a16="http://schemas.microsoft.com/office/drawing/2014/main" id="{00000000-0008-0000-0800-00005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8" name="Text Box 95">
          <a:extLst>
            <a:ext uri="{FF2B5EF4-FFF2-40B4-BE49-F238E27FC236}">
              <a16:creationId xmlns:a16="http://schemas.microsoft.com/office/drawing/2014/main" id="{00000000-0008-0000-0800-00005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9" name="Text Box 96">
          <a:extLst>
            <a:ext uri="{FF2B5EF4-FFF2-40B4-BE49-F238E27FC236}">
              <a16:creationId xmlns:a16="http://schemas.microsoft.com/office/drawing/2014/main" id="{00000000-0008-0000-0800-00005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80" name="Text Box 97">
          <a:extLst>
            <a:ext uri="{FF2B5EF4-FFF2-40B4-BE49-F238E27FC236}">
              <a16:creationId xmlns:a16="http://schemas.microsoft.com/office/drawing/2014/main" id="{00000000-0008-0000-0800-00005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1" name="Text Box 100">
          <a:extLst>
            <a:ext uri="{FF2B5EF4-FFF2-40B4-BE49-F238E27FC236}">
              <a16:creationId xmlns:a16="http://schemas.microsoft.com/office/drawing/2014/main" id="{00000000-0008-0000-0800-00005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2" name="Text Box 101">
          <a:extLst>
            <a:ext uri="{FF2B5EF4-FFF2-40B4-BE49-F238E27FC236}">
              <a16:creationId xmlns:a16="http://schemas.microsoft.com/office/drawing/2014/main" id="{00000000-0008-0000-0800-00005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3" name="Text Box 102">
          <a:extLst>
            <a:ext uri="{FF2B5EF4-FFF2-40B4-BE49-F238E27FC236}">
              <a16:creationId xmlns:a16="http://schemas.microsoft.com/office/drawing/2014/main" id="{00000000-0008-0000-0800-00005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4" name="Text Box 103">
          <a:extLst>
            <a:ext uri="{FF2B5EF4-FFF2-40B4-BE49-F238E27FC236}">
              <a16:creationId xmlns:a16="http://schemas.microsoft.com/office/drawing/2014/main" id="{00000000-0008-0000-0800-00006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5" name="Text Box 104">
          <a:extLst>
            <a:ext uri="{FF2B5EF4-FFF2-40B4-BE49-F238E27FC236}">
              <a16:creationId xmlns:a16="http://schemas.microsoft.com/office/drawing/2014/main" id="{00000000-0008-0000-0800-00006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6" name="Text Box 105">
          <a:extLst>
            <a:ext uri="{FF2B5EF4-FFF2-40B4-BE49-F238E27FC236}">
              <a16:creationId xmlns:a16="http://schemas.microsoft.com/office/drawing/2014/main" id="{00000000-0008-0000-0800-00006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7" name="Text Box 106">
          <a:extLst>
            <a:ext uri="{FF2B5EF4-FFF2-40B4-BE49-F238E27FC236}">
              <a16:creationId xmlns:a16="http://schemas.microsoft.com/office/drawing/2014/main" id="{00000000-0008-0000-0800-00006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8" name="Text Box 107">
          <a:extLst>
            <a:ext uri="{FF2B5EF4-FFF2-40B4-BE49-F238E27FC236}">
              <a16:creationId xmlns:a16="http://schemas.microsoft.com/office/drawing/2014/main" id="{00000000-0008-0000-0800-00006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9" name="Text Box 108">
          <a:extLst>
            <a:ext uri="{FF2B5EF4-FFF2-40B4-BE49-F238E27FC236}">
              <a16:creationId xmlns:a16="http://schemas.microsoft.com/office/drawing/2014/main" id="{00000000-0008-0000-0800-00006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0" name="Text Box 109">
          <a:extLst>
            <a:ext uri="{FF2B5EF4-FFF2-40B4-BE49-F238E27FC236}">
              <a16:creationId xmlns:a16="http://schemas.microsoft.com/office/drawing/2014/main" id="{00000000-0008-0000-0800-00006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1" name="Text Box 110">
          <a:extLst>
            <a:ext uri="{FF2B5EF4-FFF2-40B4-BE49-F238E27FC236}">
              <a16:creationId xmlns:a16="http://schemas.microsoft.com/office/drawing/2014/main" id="{00000000-0008-0000-0800-00006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2" name="Text Box 111">
          <a:extLst>
            <a:ext uri="{FF2B5EF4-FFF2-40B4-BE49-F238E27FC236}">
              <a16:creationId xmlns:a16="http://schemas.microsoft.com/office/drawing/2014/main" id="{00000000-0008-0000-0800-00006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3" name="Text Box 119">
          <a:extLst>
            <a:ext uri="{FF2B5EF4-FFF2-40B4-BE49-F238E27FC236}">
              <a16:creationId xmlns:a16="http://schemas.microsoft.com/office/drawing/2014/main" id="{00000000-0008-0000-0800-00006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4" name="Text Box 120">
          <a:extLst>
            <a:ext uri="{FF2B5EF4-FFF2-40B4-BE49-F238E27FC236}">
              <a16:creationId xmlns:a16="http://schemas.microsoft.com/office/drawing/2014/main" id="{00000000-0008-0000-0800-00006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5" name="Text Box 121">
          <a:extLst>
            <a:ext uri="{FF2B5EF4-FFF2-40B4-BE49-F238E27FC236}">
              <a16:creationId xmlns:a16="http://schemas.microsoft.com/office/drawing/2014/main" id="{00000000-0008-0000-0800-00006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6" name="Text Box 122">
          <a:extLst>
            <a:ext uri="{FF2B5EF4-FFF2-40B4-BE49-F238E27FC236}">
              <a16:creationId xmlns:a16="http://schemas.microsoft.com/office/drawing/2014/main" id="{00000000-0008-0000-0800-00006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7" name="Text Box 123">
          <a:extLst>
            <a:ext uri="{FF2B5EF4-FFF2-40B4-BE49-F238E27FC236}">
              <a16:creationId xmlns:a16="http://schemas.microsoft.com/office/drawing/2014/main" id="{00000000-0008-0000-0800-00006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8" name="Text Box 124">
          <a:extLst>
            <a:ext uri="{FF2B5EF4-FFF2-40B4-BE49-F238E27FC236}">
              <a16:creationId xmlns:a16="http://schemas.microsoft.com/office/drawing/2014/main" id="{00000000-0008-0000-0800-00006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9" name="Text Box 125">
          <a:extLst>
            <a:ext uri="{FF2B5EF4-FFF2-40B4-BE49-F238E27FC236}">
              <a16:creationId xmlns:a16="http://schemas.microsoft.com/office/drawing/2014/main" id="{00000000-0008-0000-0800-00006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0" name="Text Box 126">
          <a:extLst>
            <a:ext uri="{FF2B5EF4-FFF2-40B4-BE49-F238E27FC236}">
              <a16:creationId xmlns:a16="http://schemas.microsoft.com/office/drawing/2014/main" id="{00000000-0008-0000-0800-00007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1" name="Text Box 127">
          <a:extLst>
            <a:ext uri="{FF2B5EF4-FFF2-40B4-BE49-F238E27FC236}">
              <a16:creationId xmlns:a16="http://schemas.microsoft.com/office/drawing/2014/main" id="{00000000-0008-0000-0800-00007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2" name="Text Box 128">
          <a:extLst>
            <a:ext uri="{FF2B5EF4-FFF2-40B4-BE49-F238E27FC236}">
              <a16:creationId xmlns:a16="http://schemas.microsoft.com/office/drawing/2014/main" id="{00000000-0008-0000-0800-00007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3" name="Text Box 129">
          <a:extLst>
            <a:ext uri="{FF2B5EF4-FFF2-40B4-BE49-F238E27FC236}">
              <a16:creationId xmlns:a16="http://schemas.microsoft.com/office/drawing/2014/main" id="{00000000-0008-0000-0800-00007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4" name="Text Box 130">
          <a:extLst>
            <a:ext uri="{FF2B5EF4-FFF2-40B4-BE49-F238E27FC236}">
              <a16:creationId xmlns:a16="http://schemas.microsoft.com/office/drawing/2014/main" id="{00000000-0008-0000-0800-00007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5" name="Text Box 133">
          <a:extLst>
            <a:ext uri="{FF2B5EF4-FFF2-40B4-BE49-F238E27FC236}">
              <a16:creationId xmlns:a16="http://schemas.microsoft.com/office/drawing/2014/main" id="{00000000-0008-0000-0800-00007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6" name="Text Box 134">
          <a:extLst>
            <a:ext uri="{FF2B5EF4-FFF2-40B4-BE49-F238E27FC236}">
              <a16:creationId xmlns:a16="http://schemas.microsoft.com/office/drawing/2014/main" id="{00000000-0008-0000-0800-00007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7" name="Text Box 135">
          <a:extLst>
            <a:ext uri="{FF2B5EF4-FFF2-40B4-BE49-F238E27FC236}">
              <a16:creationId xmlns:a16="http://schemas.microsoft.com/office/drawing/2014/main" id="{00000000-0008-0000-0800-00007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8" name="Text Box 136">
          <a:extLst>
            <a:ext uri="{FF2B5EF4-FFF2-40B4-BE49-F238E27FC236}">
              <a16:creationId xmlns:a16="http://schemas.microsoft.com/office/drawing/2014/main" id="{00000000-0008-0000-0800-00007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9" name="Text Box 137">
          <a:extLst>
            <a:ext uri="{FF2B5EF4-FFF2-40B4-BE49-F238E27FC236}">
              <a16:creationId xmlns:a16="http://schemas.microsoft.com/office/drawing/2014/main" id="{00000000-0008-0000-0800-00007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0" name="Text Box 138">
          <a:extLst>
            <a:ext uri="{FF2B5EF4-FFF2-40B4-BE49-F238E27FC236}">
              <a16:creationId xmlns:a16="http://schemas.microsoft.com/office/drawing/2014/main" id="{00000000-0008-0000-0800-00007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1" name="Text Box 139">
          <a:extLst>
            <a:ext uri="{FF2B5EF4-FFF2-40B4-BE49-F238E27FC236}">
              <a16:creationId xmlns:a16="http://schemas.microsoft.com/office/drawing/2014/main" id="{00000000-0008-0000-0800-00007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2" name="Text Box 140">
          <a:extLst>
            <a:ext uri="{FF2B5EF4-FFF2-40B4-BE49-F238E27FC236}">
              <a16:creationId xmlns:a16="http://schemas.microsoft.com/office/drawing/2014/main" id="{00000000-0008-0000-0800-00007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3" name="Text Box 141">
          <a:extLst>
            <a:ext uri="{FF2B5EF4-FFF2-40B4-BE49-F238E27FC236}">
              <a16:creationId xmlns:a16="http://schemas.microsoft.com/office/drawing/2014/main" id="{00000000-0008-0000-0800-00007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4" name="Text Box 142">
          <a:extLst>
            <a:ext uri="{FF2B5EF4-FFF2-40B4-BE49-F238E27FC236}">
              <a16:creationId xmlns:a16="http://schemas.microsoft.com/office/drawing/2014/main" id="{00000000-0008-0000-0800-00007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5" name="Text Box 143">
          <a:extLst>
            <a:ext uri="{FF2B5EF4-FFF2-40B4-BE49-F238E27FC236}">
              <a16:creationId xmlns:a16="http://schemas.microsoft.com/office/drawing/2014/main" id="{00000000-0008-0000-0800-00007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6" name="Text Box 144">
          <a:extLst>
            <a:ext uri="{FF2B5EF4-FFF2-40B4-BE49-F238E27FC236}">
              <a16:creationId xmlns:a16="http://schemas.microsoft.com/office/drawing/2014/main" id="{00000000-0008-0000-0800-00008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7" name="Text Box 145">
          <a:extLst>
            <a:ext uri="{FF2B5EF4-FFF2-40B4-BE49-F238E27FC236}">
              <a16:creationId xmlns:a16="http://schemas.microsoft.com/office/drawing/2014/main" id="{00000000-0008-0000-0800-00008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8" name="Text Box 146">
          <a:extLst>
            <a:ext uri="{FF2B5EF4-FFF2-40B4-BE49-F238E27FC236}">
              <a16:creationId xmlns:a16="http://schemas.microsoft.com/office/drawing/2014/main" id="{00000000-0008-0000-0800-00008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9" name="Text Box 147">
          <a:extLst>
            <a:ext uri="{FF2B5EF4-FFF2-40B4-BE49-F238E27FC236}">
              <a16:creationId xmlns:a16="http://schemas.microsoft.com/office/drawing/2014/main" id="{00000000-0008-0000-0800-00008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0" name="Text Box 148">
          <a:extLst>
            <a:ext uri="{FF2B5EF4-FFF2-40B4-BE49-F238E27FC236}">
              <a16:creationId xmlns:a16="http://schemas.microsoft.com/office/drawing/2014/main" id="{00000000-0008-0000-0800-00008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1" name="Text Box 149">
          <a:extLst>
            <a:ext uri="{FF2B5EF4-FFF2-40B4-BE49-F238E27FC236}">
              <a16:creationId xmlns:a16="http://schemas.microsoft.com/office/drawing/2014/main" id="{00000000-0008-0000-0800-00008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2" name="Text Box 150">
          <a:extLst>
            <a:ext uri="{FF2B5EF4-FFF2-40B4-BE49-F238E27FC236}">
              <a16:creationId xmlns:a16="http://schemas.microsoft.com/office/drawing/2014/main" id="{00000000-0008-0000-0800-00008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3" name="Text Box 151">
          <a:extLst>
            <a:ext uri="{FF2B5EF4-FFF2-40B4-BE49-F238E27FC236}">
              <a16:creationId xmlns:a16="http://schemas.microsoft.com/office/drawing/2014/main" id="{00000000-0008-0000-0800-00008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4" name="Text Box 152">
          <a:extLst>
            <a:ext uri="{FF2B5EF4-FFF2-40B4-BE49-F238E27FC236}">
              <a16:creationId xmlns:a16="http://schemas.microsoft.com/office/drawing/2014/main" id="{00000000-0008-0000-0800-00008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5" name="Text Box 153">
          <a:extLst>
            <a:ext uri="{FF2B5EF4-FFF2-40B4-BE49-F238E27FC236}">
              <a16:creationId xmlns:a16="http://schemas.microsoft.com/office/drawing/2014/main" id="{00000000-0008-0000-0800-00008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6" name="Text Box 154">
          <a:extLst>
            <a:ext uri="{FF2B5EF4-FFF2-40B4-BE49-F238E27FC236}">
              <a16:creationId xmlns:a16="http://schemas.microsoft.com/office/drawing/2014/main" id="{00000000-0008-0000-0800-00008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7" name="Text Box 155">
          <a:extLst>
            <a:ext uri="{FF2B5EF4-FFF2-40B4-BE49-F238E27FC236}">
              <a16:creationId xmlns:a16="http://schemas.microsoft.com/office/drawing/2014/main" id="{00000000-0008-0000-0800-00008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8" name="Text Box 156">
          <a:extLst>
            <a:ext uri="{FF2B5EF4-FFF2-40B4-BE49-F238E27FC236}">
              <a16:creationId xmlns:a16="http://schemas.microsoft.com/office/drawing/2014/main" id="{00000000-0008-0000-0800-00008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9" name="Text Box 157">
          <a:extLst>
            <a:ext uri="{FF2B5EF4-FFF2-40B4-BE49-F238E27FC236}">
              <a16:creationId xmlns:a16="http://schemas.microsoft.com/office/drawing/2014/main" id="{00000000-0008-0000-0800-00008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0" name="Text Box 158">
          <a:extLst>
            <a:ext uri="{FF2B5EF4-FFF2-40B4-BE49-F238E27FC236}">
              <a16:creationId xmlns:a16="http://schemas.microsoft.com/office/drawing/2014/main" id="{00000000-0008-0000-0800-00008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1" name="Text Box 159">
          <a:extLst>
            <a:ext uri="{FF2B5EF4-FFF2-40B4-BE49-F238E27FC236}">
              <a16:creationId xmlns:a16="http://schemas.microsoft.com/office/drawing/2014/main" id="{00000000-0008-0000-0800-00008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2" name="Text Box 160">
          <a:extLst>
            <a:ext uri="{FF2B5EF4-FFF2-40B4-BE49-F238E27FC236}">
              <a16:creationId xmlns:a16="http://schemas.microsoft.com/office/drawing/2014/main" id="{00000000-0008-0000-0800-00009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3" name="Text Box 161">
          <a:extLst>
            <a:ext uri="{FF2B5EF4-FFF2-40B4-BE49-F238E27FC236}">
              <a16:creationId xmlns:a16="http://schemas.microsoft.com/office/drawing/2014/main" id="{00000000-0008-0000-0800-00009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4" name="Text Box 162">
          <a:extLst>
            <a:ext uri="{FF2B5EF4-FFF2-40B4-BE49-F238E27FC236}">
              <a16:creationId xmlns:a16="http://schemas.microsoft.com/office/drawing/2014/main" id="{00000000-0008-0000-0800-00009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5" name="Text Box 163">
          <a:extLst>
            <a:ext uri="{FF2B5EF4-FFF2-40B4-BE49-F238E27FC236}">
              <a16:creationId xmlns:a16="http://schemas.microsoft.com/office/drawing/2014/main" id="{00000000-0008-0000-0800-00009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6" name="Text Box 164">
          <a:extLst>
            <a:ext uri="{FF2B5EF4-FFF2-40B4-BE49-F238E27FC236}">
              <a16:creationId xmlns:a16="http://schemas.microsoft.com/office/drawing/2014/main" id="{00000000-0008-0000-0800-00009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7" name="Text Box 165">
          <a:extLst>
            <a:ext uri="{FF2B5EF4-FFF2-40B4-BE49-F238E27FC236}">
              <a16:creationId xmlns:a16="http://schemas.microsoft.com/office/drawing/2014/main" id="{00000000-0008-0000-0800-00009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8" name="Text Box 166">
          <a:extLst>
            <a:ext uri="{FF2B5EF4-FFF2-40B4-BE49-F238E27FC236}">
              <a16:creationId xmlns:a16="http://schemas.microsoft.com/office/drawing/2014/main" id="{00000000-0008-0000-0800-00009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9" name="Text Box 167">
          <a:extLst>
            <a:ext uri="{FF2B5EF4-FFF2-40B4-BE49-F238E27FC236}">
              <a16:creationId xmlns:a16="http://schemas.microsoft.com/office/drawing/2014/main" id="{00000000-0008-0000-0800-00009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0" name="Text Box 168">
          <a:extLst>
            <a:ext uri="{FF2B5EF4-FFF2-40B4-BE49-F238E27FC236}">
              <a16:creationId xmlns:a16="http://schemas.microsoft.com/office/drawing/2014/main" id="{00000000-0008-0000-0800-00009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1" name="Text Box 169">
          <a:extLst>
            <a:ext uri="{FF2B5EF4-FFF2-40B4-BE49-F238E27FC236}">
              <a16:creationId xmlns:a16="http://schemas.microsoft.com/office/drawing/2014/main" id="{00000000-0008-0000-0800-00009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2" name="Text Box 170">
          <a:extLst>
            <a:ext uri="{FF2B5EF4-FFF2-40B4-BE49-F238E27FC236}">
              <a16:creationId xmlns:a16="http://schemas.microsoft.com/office/drawing/2014/main" id="{00000000-0008-0000-0800-00009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3" name="Text Box 171">
          <a:extLst>
            <a:ext uri="{FF2B5EF4-FFF2-40B4-BE49-F238E27FC236}">
              <a16:creationId xmlns:a16="http://schemas.microsoft.com/office/drawing/2014/main" id="{00000000-0008-0000-0800-00009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4" name="Text Box 172">
          <a:extLst>
            <a:ext uri="{FF2B5EF4-FFF2-40B4-BE49-F238E27FC236}">
              <a16:creationId xmlns:a16="http://schemas.microsoft.com/office/drawing/2014/main" id="{00000000-0008-0000-0800-00009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5" name="Text Box 173">
          <a:extLst>
            <a:ext uri="{FF2B5EF4-FFF2-40B4-BE49-F238E27FC236}">
              <a16:creationId xmlns:a16="http://schemas.microsoft.com/office/drawing/2014/main" id="{00000000-0008-0000-0800-00009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6" name="Text Box 174">
          <a:extLst>
            <a:ext uri="{FF2B5EF4-FFF2-40B4-BE49-F238E27FC236}">
              <a16:creationId xmlns:a16="http://schemas.microsoft.com/office/drawing/2014/main" id="{00000000-0008-0000-0800-00009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7" name="Text Box 175">
          <a:extLst>
            <a:ext uri="{FF2B5EF4-FFF2-40B4-BE49-F238E27FC236}">
              <a16:creationId xmlns:a16="http://schemas.microsoft.com/office/drawing/2014/main" id="{00000000-0008-0000-0800-00009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8" name="Text Box 176">
          <a:extLst>
            <a:ext uri="{FF2B5EF4-FFF2-40B4-BE49-F238E27FC236}">
              <a16:creationId xmlns:a16="http://schemas.microsoft.com/office/drawing/2014/main" id="{00000000-0008-0000-0800-0000A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9" name="Text Box 177">
          <a:extLst>
            <a:ext uri="{FF2B5EF4-FFF2-40B4-BE49-F238E27FC236}">
              <a16:creationId xmlns:a16="http://schemas.microsoft.com/office/drawing/2014/main" id="{00000000-0008-0000-0800-0000A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0" name="Text Box 178">
          <a:extLst>
            <a:ext uri="{FF2B5EF4-FFF2-40B4-BE49-F238E27FC236}">
              <a16:creationId xmlns:a16="http://schemas.microsoft.com/office/drawing/2014/main" id="{00000000-0008-0000-0800-0000A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1" name="Text Box 179">
          <a:extLst>
            <a:ext uri="{FF2B5EF4-FFF2-40B4-BE49-F238E27FC236}">
              <a16:creationId xmlns:a16="http://schemas.microsoft.com/office/drawing/2014/main" id="{00000000-0008-0000-0800-0000A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2" name="Text Box 180">
          <a:extLst>
            <a:ext uri="{FF2B5EF4-FFF2-40B4-BE49-F238E27FC236}">
              <a16:creationId xmlns:a16="http://schemas.microsoft.com/office/drawing/2014/main" id="{00000000-0008-0000-0800-0000A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3" name="Text Box 181">
          <a:extLst>
            <a:ext uri="{FF2B5EF4-FFF2-40B4-BE49-F238E27FC236}">
              <a16:creationId xmlns:a16="http://schemas.microsoft.com/office/drawing/2014/main" id="{00000000-0008-0000-0800-0000A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4" name="Text Box 182">
          <a:extLst>
            <a:ext uri="{FF2B5EF4-FFF2-40B4-BE49-F238E27FC236}">
              <a16:creationId xmlns:a16="http://schemas.microsoft.com/office/drawing/2014/main" id="{00000000-0008-0000-0800-0000A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5" name="Text Box 183">
          <a:extLst>
            <a:ext uri="{FF2B5EF4-FFF2-40B4-BE49-F238E27FC236}">
              <a16:creationId xmlns:a16="http://schemas.microsoft.com/office/drawing/2014/main" id="{00000000-0008-0000-0800-0000A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6" name="Text Box 184">
          <a:extLst>
            <a:ext uri="{FF2B5EF4-FFF2-40B4-BE49-F238E27FC236}">
              <a16:creationId xmlns:a16="http://schemas.microsoft.com/office/drawing/2014/main" id="{00000000-0008-0000-0800-0000A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7" name="Text Box 185">
          <a:extLst>
            <a:ext uri="{FF2B5EF4-FFF2-40B4-BE49-F238E27FC236}">
              <a16:creationId xmlns:a16="http://schemas.microsoft.com/office/drawing/2014/main" id="{00000000-0008-0000-0800-0000A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8" name="Text Box 186">
          <a:extLst>
            <a:ext uri="{FF2B5EF4-FFF2-40B4-BE49-F238E27FC236}">
              <a16:creationId xmlns:a16="http://schemas.microsoft.com/office/drawing/2014/main" id="{00000000-0008-0000-0800-0000A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9" name="Text Box 187">
          <a:extLst>
            <a:ext uri="{FF2B5EF4-FFF2-40B4-BE49-F238E27FC236}">
              <a16:creationId xmlns:a16="http://schemas.microsoft.com/office/drawing/2014/main" id="{00000000-0008-0000-0800-0000A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0" name="Text Box 188">
          <a:extLst>
            <a:ext uri="{FF2B5EF4-FFF2-40B4-BE49-F238E27FC236}">
              <a16:creationId xmlns:a16="http://schemas.microsoft.com/office/drawing/2014/main" id="{00000000-0008-0000-0800-0000A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1" name="Text Box 189">
          <a:extLst>
            <a:ext uri="{FF2B5EF4-FFF2-40B4-BE49-F238E27FC236}">
              <a16:creationId xmlns:a16="http://schemas.microsoft.com/office/drawing/2014/main" id="{00000000-0008-0000-0800-0000A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2" name="Text Box 190">
          <a:extLst>
            <a:ext uri="{FF2B5EF4-FFF2-40B4-BE49-F238E27FC236}">
              <a16:creationId xmlns:a16="http://schemas.microsoft.com/office/drawing/2014/main" id="{00000000-0008-0000-0800-0000A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3" name="Text Box 191">
          <a:extLst>
            <a:ext uri="{FF2B5EF4-FFF2-40B4-BE49-F238E27FC236}">
              <a16:creationId xmlns:a16="http://schemas.microsoft.com/office/drawing/2014/main" id="{00000000-0008-0000-0800-0000A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4" name="Text Box 192">
          <a:extLst>
            <a:ext uri="{FF2B5EF4-FFF2-40B4-BE49-F238E27FC236}">
              <a16:creationId xmlns:a16="http://schemas.microsoft.com/office/drawing/2014/main" id="{00000000-0008-0000-0800-0000B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5" name="Text Box 193">
          <a:extLst>
            <a:ext uri="{FF2B5EF4-FFF2-40B4-BE49-F238E27FC236}">
              <a16:creationId xmlns:a16="http://schemas.microsoft.com/office/drawing/2014/main" id="{00000000-0008-0000-0800-0000B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6" name="Text Box 194">
          <a:extLst>
            <a:ext uri="{FF2B5EF4-FFF2-40B4-BE49-F238E27FC236}">
              <a16:creationId xmlns:a16="http://schemas.microsoft.com/office/drawing/2014/main" id="{00000000-0008-0000-0800-0000B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7" name="Text Box 195">
          <a:extLst>
            <a:ext uri="{FF2B5EF4-FFF2-40B4-BE49-F238E27FC236}">
              <a16:creationId xmlns:a16="http://schemas.microsoft.com/office/drawing/2014/main" id="{00000000-0008-0000-0800-0000B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8" name="Text Box 196">
          <a:extLst>
            <a:ext uri="{FF2B5EF4-FFF2-40B4-BE49-F238E27FC236}">
              <a16:creationId xmlns:a16="http://schemas.microsoft.com/office/drawing/2014/main" id="{00000000-0008-0000-0800-0000B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9" name="Text Box 197">
          <a:extLst>
            <a:ext uri="{FF2B5EF4-FFF2-40B4-BE49-F238E27FC236}">
              <a16:creationId xmlns:a16="http://schemas.microsoft.com/office/drawing/2014/main" id="{00000000-0008-0000-0800-0000B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0" name="Text Box 198">
          <a:extLst>
            <a:ext uri="{FF2B5EF4-FFF2-40B4-BE49-F238E27FC236}">
              <a16:creationId xmlns:a16="http://schemas.microsoft.com/office/drawing/2014/main" id="{00000000-0008-0000-0800-0000B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1" name="Text Box 199">
          <a:extLst>
            <a:ext uri="{FF2B5EF4-FFF2-40B4-BE49-F238E27FC236}">
              <a16:creationId xmlns:a16="http://schemas.microsoft.com/office/drawing/2014/main" id="{00000000-0008-0000-0800-0000B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2" name="Text Box 200">
          <a:extLst>
            <a:ext uri="{FF2B5EF4-FFF2-40B4-BE49-F238E27FC236}">
              <a16:creationId xmlns:a16="http://schemas.microsoft.com/office/drawing/2014/main" id="{00000000-0008-0000-0800-0000B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3" name="Text Box 201">
          <a:extLst>
            <a:ext uri="{FF2B5EF4-FFF2-40B4-BE49-F238E27FC236}">
              <a16:creationId xmlns:a16="http://schemas.microsoft.com/office/drawing/2014/main" id="{00000000-0008-0000-0800-0000B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4" name="Text Box 202">
          <a:extLst>
            <a:ext uri="{FF2B5EF4-FFF2-40B4-BE49-F238E27FC236}">
              <a16:creationId xmlns:a16="http://schemas.microsoft.com/office/drawing/2014/main" id="{00000000-0008-0000-0800-0000B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5" name="Text Box 203">
          <a:extLst>
            <a:ext uri="{FF2B5EF4-FFF2-40B4-BE49-F238E27FC236}">
              <a16:creationId xmlns:a16="http://schemas.microsoft.com/office/drawing/2014/main" id="{00000000-0008-0000-0800-0000B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6" name="Text Box 204">
          <a:extLst>
            <a:ext uri="{FF2B5EF4-FFF2-40B4-BE49-F238E27FC236}">
              <a16:creationId xmlns:a16="http://schemas.microsoft.com/office/drawing/2014/main" id="{00000000-0008-0000-0800-0000B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7" name="Text Box 205">
          <a:extLst>
            <a:ext uri="{FF2B5EF4-FFF2-40B4-BE49-F238E27FC236}">
              <a16:creationId xmlns:a16="http://schemas.microsoft.com/office/drawing/2014/main" id="{00000000-0008-0000-0800-0000B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8" name="Text Box 206">
          <a:extLst>
            <a:ext uri="{FF2B5EF4-FFF2-40B4-BE49-F238E27FC236}">
              <a16:creationId xmlns:a16="http://schemas.microsoft.com/office/drawing/2014/main" id="{00000000-0008-0000-0800-0000B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9" name="Text Box 207">
          <a:extLst>
            <a:ext uri="{FF2B5EF4-FFF2-40B4-BE49-F238E27FC236}">
              <a16:creationId xmlns:a16="http://schemas.microsoft.com/office/drawing/2014/main" id="{00000000-0008-0000-0800-0000B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0" name="Text Box 208">
          <a:extLst>
            <a:ext uri="{FF2B5EF4-FFF2-40B4-BE49-F238E27FC236}">
              <a16:creationId xmlns:a16="http://schemas.microsoft.com/office/drawing/2014/main" id="{00000000-0008-0000-0800-0000C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1" name="Text Box 209">
          <a:extLst>
            <a:ext uri="{FF2B5EF4-FFF2-40B4-BE49-F238E27FC236}">
              <a16:creationId xmlns:a16="http://schemas.microsoft.com/office/drawing/2014/main" id="{00000000-0008-0000-0800-0000C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2" name="Text Box 210">
          <a:extLst>
            <a:ext uri="{FF2B5EF4-FFF2-40B4-BE49-F238E27FC236}">
              <a16:creationId xmlns:a16="http://schemas.microsoft.com/office/drawing/2014/main" id="{00000000-0008-0000-0800-0000C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3" name="Text Box 211">
          <a:extLst>
            <a:ext uri="{FF2B5EF4-FFF2-40B4-BE49-F238E27FC236}">
              <a16:creationId xmlns:a16="http://schemas.microsoft.com/office/drawing/2014/main" id="{00000000-0008-0000-0800-0000C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4" name="Text Box 212">
          <a:extLst>
            <a:ext uri="{FF2B5EF4-FFF2-40B4-BE49-F238E27FC236}">
              <a16:creationId xmlns:a16="http://schemas.microsoft.com/office/drawing/2014/main" id="{00000000-0008-0000-0800-0000C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5" name="Text Box 213">
          <a:extLst>
            <a:ext uri="{FF2B5EF4-FFF2-40B4-BE49-F238E27FC236}">
              <a16:creationId xmlns:a16="http://schemas.microsoft.com/office/drawing/2014/main" id="{00000000-0008-0000-0800-0000C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6" name="Text Box 214">
          <a:extLst>
            <a:ext uri="{FF2B5EF4-FFF2-40B4-BE49-F238E27FC236}">
              <a16:creationId xmlns:a16="http://schemas.microsoft.com/office/drawing/2014/main" id="{00000000-0008-0000-0800-0000C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7" name="Text Box 215">
          <a:extLst>
            <a:ext uri="{FF2B5EF4-FFF2-40B4-BE49-F238E27FC236}">
              <a16:creationId xmlns:a16="http://schemas.microsoft.com/office/drawing/2014/main" id="{00000000-0008-0000-0800-0000C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8" name="Text Box 216">
          <a:extLst>
            <a:ext uri="{FF2B5EF4-FFF2-40B4-BE49-F238E27FC236}">
              <a16:creationId xmlns:a16="http://schemas.microsoft.com/office/drawing/2014/main" id="{00000000-0008-0000-0800-0000C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9" name="Text Box 217">
          <a:extLst>
            <a:ext uri="{FF2B5EF4-FFF2-40B4-BE49-F238E27FC236}">
              <a16:creationId xmlns:a16="http://schemas.microsoft.com/office/drawing/2014/main" id="{00000000-0008-0000-0800-0000C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0" name="Text Box 218">
          <a:extLst>
            <a:ext uri="{FF2B5EF4-FFF2-40B4-BE49-F238E27FC236}">
              <a16:creationId xmlns:a16="http://schemas.microsoft.com/office/drawing/2014/main" id="{00000000-0008-0000-0800-0000C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1" name="Text Box 219">
          <a:extLst>
            <a:ext uri="{FF2B5EF4-FFF2-40B4-BE49-F238E27FC236}">
              <a16:creationId xmlns:a16="http://schemas.microsoft.com/office/drawing/2014/main" id="{00000000-0008-0000-0800-0000C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2" name="Text Box 220">
          <a:extLst>
            <a:ext uri="{FF2B5EF4-FFF2-40B4-BE49-F238E27FC236}">
              <a16:creationId xmlns:a16="http://schemas.microsoft.com/office/drawing/2014/main" id="{00000000-0008-0000-0800-0000C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3" name="Text Box 221">
          <a:extLst>
            <a:ext uri="{FF2B5EF4-FFF2-40B4-BE49-F238E27FC236}">
              <a16:creationId xmlns:a16="http://schemas.microsoft.com/office/drawing/2014/main" id="{00000000-0008-0000-0800-0000C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4" name="Text Box 222">
          <a:extLst>
            <a:ext uri="{FF2B5EF4-FFF2-40B4-BE49-F238E27FC236}">
              <a16:creationId xmlns:a16="http://schemas.microsoft.com/office/drawing/2014/main" id="{00000000-0008-0000-0800-0000C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5" name="Text Box 223">
          <a:extLst>
            <a:ext uri="{FF2B5EF4-FFF2-40B4-BE49-F238E27FC236}">
              <a16:creationId xmlns:a16="http://schemas.microsoft.com/office/drawing/2014/main" id="{00000000-0008-0000-0800-0000C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6" name="Text Box 224">
          <a:extLst>
            <a:ext uri="{FF2B5EF4-FFF2-40B4-BE49-F238E27FC236}">
              <a16:creationId xmlns:a16="http://schemas.microsoft.com/office/drawing/2014/main" id="{00000000-0008-0000-0800-0000D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7" name="Text Box 225">
          <a:extLst>
            <a:ext uri="{FF2B5EF4-FFF2-40B4-BE49-F238E27FC236}">
              <a16:creationId xmlns:a16="http://schemas.microsoft.com/office/drawing/2014/main" id="{00000000-0008-0000-0800-0000D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8" name="Text Box 226">
          <a:extLst>
            <a:ext uri="{FF2B5EF4-FFF2-40B4-BE49-F238E27FC236}">
              <a16:creationId xmlns:a16="http://schemas.microsoft.com/office/drawing/2014/main" id="{00000000-0008-0000-0800-0000D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99" name="Text Box 227">
          <a:extLst>
            <a:ext uri="{FF2B5EF4-FFF2-40B4-BE49-F238E27FC236}">
              <a16:creationId xmlns:a16="http://schemas.microsoft.com/office/drawing/2014/main" id="{00000000-0008-0000-0800-0000D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0" name="Text Box 228">
          <a:extLst>
            <a:ext uri="{FF2B5EF4-FFF2-40B4-BE49-F238E27FC236}">
              <a16:creationId xmlns:a16="http://schemas.microsoft.com/office/drawing/2014/main" id="{00000000-0008-0000-0800-0000D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1" name="Text Box 229">
          <a:extLst>
            <a:ext uri="{FF2B5EF4-FFF2-40B4-BE49-F238E27FC236}">
              <a16:creationId xmlns:a16="http://schemas.microsoft.com/office/drawing/2014/main" id="{00000000-0008-0000-0800-0000D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2" name="Text Box 230">
          <a:extLst>
            <a:ext uri="{FF2B5EF4-FFF2-40B4-BE49-F238E27FC236}">
              <a16:creationId xmlns:a16="http://schemas.microsoft.com/office/drawing/2014/main" id="{00000000-0008-0000-0800-0000D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3" name="Text Box 231">
          <a:extLst>
            <a:ext uri="{FF2B5EF4-FFF2-40B4-BE49-F238E27FC236}">
              <a16:creationId xmlns:a16="http://schemas.microsoft.com/office/drawing/2014/main" id="{00000000-0008-0000-0800-0000D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4" name="Text Box 232">
          <a:extLst>
            <a:ext uri="{FF2B5EF4-FFF2-40B4-BE49-F238E27FC236}">
              <a16:creationId xmlns:a16="http://schemas.microsoft.com/office/drawing/2014/main" id="{00000000-0008-0000-0800-0000D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5" name="Text Box 233">
          <a:extLst>
            <a:ext uri="{FF2B5EF4-FFF2-40B4-BE49-F238E27FC236}">
              <a16:creationId xmlns:a16="http://schemas.microsoft.com/office/drawing/2014/main" id="{00000000-0008-0000-0800-0000D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6" name="Text Box 234">
          <a:extLst>
            <a:ext uri="{FF2B5EF4-FFF2-40B4-BE49-F238E27FC236}">
              <a16:creationId xmlns:a16="http://schemas.microsoft.com/office/drawing/2014/main" id="{00000000-0008-0000-0800-0000D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7" name="Text Box 235">
          <a:extLst>
            <a:ext uri="{FF2B5EF4-FFF2-40B4-BE49-F238E27FC236}">
              <a16:creationId xmlns:a16="http://schemas.microsoft.com/office/drawing/2014/main" id="{00000000-0008-0000-0800-0000D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8" name="Text Box 236">
          <a:extLst>
            <a:ext uri="{FF2B5EF4-FFF2-40B4-BE49-F238E27FC236}">
              <a16:creationId xmlns:a16="http://schemas.microsoft.com/office/drawing/2014/main" id="{00000000-0008-0000-0800-0000D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9" name="Text Box 237">
          <a:extLst>
            <a:ext uri="{FF2B5EF4-FFF2-40B4-BE49-F238E27FC236}">
              <a16:creationId xmlns:a16="http://schemas.microsoft.com/office/drawing/2014/main" id="{00000000-0008-0000-0800-0000D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0" name="Text Box 238">
          <a:extLst>
            <a:ext uri="{FF2B5EF4-FFF2-40B4-BE49-F238E27FC236}">
              <a16:creationId xmlns:a16="http://schemas.microsoft.com/office/drawing/2014/main" id="{00000000-0008-0000-0800-0000D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1" name="Text Box 239">
          <a:extLst>
            <a:ext uri="{FF2B5EF4-FFF2-40B4-BE49-F238E27FC236}">
              <a16:creationId xmlns:a16="http://schemas.microsoft.com/office/drawing/2014/main" id="{00000000-0008-0000-0800-0000D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2" name="Text Box 240">
          <a:extLst>
            <a:ext uri="{FF2B5EF4-FFF2-40B4-BE49-F238E27FC236}">
              <a16:creationId xmlns:a16="http://schemas.microsoft.com/office/drawing/2014/main" id="{00000000-0008-0000-0800-0000E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3" name="Text Box 241">
          <a:extLst>
            <a:ext uri="{FF2B5EF4-FFF2-40B4-BE49-F238E27FC236}">
              <a16:creationId xmlns:a16="http://schemas.microsoft.com/office/drawing/2014/main" id="{00000000-0008-0000-0800-0000E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4" name="Text Box 242">
          <a:extLst>
            <a:ext uri="{FF2B5EF4-FFF2-40B4-BE49-F238E27FC236}">
              <a16:creationId xmlns:a16="http://schemas.microsoft.com/office/drawing/2014/main" id="{00000000-0008-0000-0800-0000E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5" name="Text Box 243">
          <a:extLst>
            <a:ext uri="{FF2B5EF4-FFF2-40B4-BE49-F238E27FC236}">
              <a16:creationId xmlns:a16="http://schemas.microsoft.com/office/drawing/2014/main" id="{00000000-0008-0000-0800-0000E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6" name="Text Box 244">
          <a:extLst>
            <a:ext uri="{FF2B5EF4-FFF2-40B4-BE49-F238E27FC236}">
              <a16:creationId xmlns:a16="http://schemas.microsoft.com/office/drawing/2014/main" id="{00000000-0008-0000-0800-0000E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7" name="Text Box 245">
          <a:extLst>
            <a:ext uri="{FF2B5EF4-FFF2-40B4-BE49-F238E27FC236}">
              <a16:creationId xmlns:a16="http://schemas.microsoft.com/office/drawing/2014/main" id="{00000000-0008-0000-0800-0000E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8" name="Text Box 246">
          <a:extLst>
            <a:ext uri="{FF2B5EF4-FFF2-40B4-BE49-F238E27FC236}">
              <a16:creationId xmlns:a16="http://schemas.microsoft.com/office/drawing/2014/main" id="{00000000-0008-0000-0800-0000E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9" name="Text Box 247">
          <a:extLst>
            <a:ext uri="{FF2B5EF4-FFF2-40B4-BE49-F238E27FC236}">
              <a16:creationId xmlns:a16="http://schemas.microsoft.com/office/drawing/2014/main" id="{00000000-0008-0000-0800-0000E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0" name="Text Box 248">
          <a:extLst>
            <a:ext uri="{FF2B5EF4-FFF2-40B4-BE49-F238E27FC236}">
              <a16:creationId xmlns:a16="http://schemas.microsoft.com/office/drawing/2014/main" id="{00000000-0008-0000-0800-0000E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1" name="Text Box 249">
          <a:extLst>
            <a:ext uri="{FF2B5EF4-FFF2-40B4-BE49-F238E27FC236}">
              <a16:creationId xmlns:a16="http://schemas.microsoft.com/office/drawing/2014/main" id="{00000000-0008-0000-0800-0000E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2" name="Text Box 250">
          <a:extLst>
            <a:ext uri="{FF2B5EF4-FFF2-40B4-BE49-F238E27FC236}">
              <a16:creationId xmlns:a16="http://schemas.microsoft.com/office/drawing/2014/main" id="{00000000-0008-0000-0800-0000E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3" name="Text Box 251">
          <a:extLst>
            <a:ext uri="{FF2B5EF4-FFF2-40B4-BE49-F238E27FC236}">
              <a16:creationId xmlns:a16="http://schemas.microsoft.com/office/drawing/2014/main" id="{00000000-0008-0000-0800-0000E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4" name="Text Box 252">
          <a:extLst>
            <a:ext uri="{FF2B5EF4-FFF2-40B4-BE49-F238E27FC236}">
              <a16:creationId xmlns:a16="http://schemas.microsoft.com/office/drawing/2014/main" id="{00000000-0008-0000-0800-0000E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5" name="Text Box 253">
          <a:extLst>
            <a:ext uri="{FF2B5EF4-FFF2-40B4-BE49-F238E27FC236}">
              <a16:creationId xmlns:a16="http://schemas.microsoft.com/office/drawing/2014/main" id="{00000000-0008-0000-0800-0000E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6" name="Text Box 254">
          <a:extLst>
            <a:ext uri="{FF2B5EF4-FFF2-40B4-BE49-F238E27FC236}">
              <a16:creationId xmlns:a16="http://schemas.microsoft.com/office/drawing/2014/main" id="{00000000-0008-0000-0800-0000E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7" name="Text Box 255">
          <a:extLst>
            <a:ext uri="{FF2B5EF4-FFF2-40B4-BE49-F238E27FC236}">
              <a16:creationId xmlns:a16="http://schemas.microsoft.com/office/drawing/2014/main" id="{00000000-0008-0000-0800-0000E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8" name="Text Box 256">
          <a:extLst>
            <a:ext uri="{FF2B5EF4-FFF2-40B4-BE49-F238E27FC236}">
              <a16:creationId xmlns:a16="http://schemas.microsoft.com/office/drawing/2014/main" id="{00000000-0008-0000-0800-0000F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9" name="Text Box 257">
          <a:extLst>
            <a:ext uri="{FF2B5EF4-FFF2-40B4-BE49-F238E27FC236}">
              <a16:creationId xmlns:a16="http://schemas.microsoft.com/office/drawing/2014/main" id="{00000000-0008-0000-0800-0000F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0" name="Text Box 258">
          <a:extLst>
            <a:ext uri="{FF2B5EF4-FFF2-40B4-BE49-F238E27FC236}">
              <a16:creationId xmlns:a16="http://schemas.microsoft.com/office/drawing/2014/main" id="{00000000-0008-0000-0800-0000F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1" name="Text Box 259">
          <a:extLst>
            <a:ext uri="{FF2B5EF4-FFF2-40B4-BE49-F238E27FC236}">
              <a16:creationId xmlns:a16="http://schemas.microsoft.com/office/drawing/2014/main" id="{00000000-0008-0000-0800-0000F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2" name="Text Box 260">
          <a:extLst>
            <a:ext uri="{FF2B5EF4-FFF2-40B4-BE49-F238E27FC236}">
              <a16:creationId xmlns:a16="http://schemas.microsoft.com/office/drawing/2014/main" id="{00000000-0008-0000-0800-0000F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3" name="Text Box 261">
          <a:extLst>
            <a:ext uri="{FF2B5EF4-FFF2-40B4-BE49-F238E27FC236}">
              <a16:creationId xmlns:a16="http://schemas.microsoft.com/office/drawing/2014/main" id="{00000000-0008-0000-0800-0000F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4" name="Text Box 262">
          <a:extLst>
            <a:ext uri="{FF2B5EF4-FFF2-40B4-BE49-F238E27FC236}">
              <a16:creationId xmlns:a16="http://schemas.microsoft.com/office/drawing/2014/main" id="{00000000-0008-0000-0800-0000F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5" name="Text Box 263">
          <a:extLst>
            <a:ext uri="{FF2B5EF4-FFF2-40B4-BE49-F238E27FC236}">
              <a16:creationId xmlns:a16="http://schemas.microsoft.com/office/drawing/2014/main" id="{00000000-0008-0000-0800-0000F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6" name="Text Box 264">
          <a:extLst>
            <a:ext uri="{FF2B5EF4-FFF2-40B4-BE49-F238E27FC236}">
              <a16:creationId xmlns:a16="http://schemas.microsoft.com/office/drawing/2014/main" id="{00000000-0008-0000-0800-0000F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7" name="Text Box 265">
          <a:extLst>
            <a:ext uri="{FF2B5EF4-FFF2-40B4-BE49-F238E27FC236}">
              <a16:creationId xmlns:a16="http://schemas.microsoft.com/office/drawing/2014/main" id="{00000000-0008-0000-0800-0000F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8" name="Text Box 266">
          <a:extLst>
            <a:ext uri="{FF2B5EF4-FFF2-40B4-BE49-F238E27FC236}">
              <a16:creationId xmlns:a16="http://schemas.microsoft.com/office/drawing/2014/main" id="{00000000-0008-0000-0800-0000F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9" name="Text Box 267">
          <a:extLst>
            <a:ext uri="{FF2B5EF4-FFF2-40B4-BE49-F238E27FC236}">
              <a16:creationId xmlns:a16="http://schemas.microsoft.com/office/drawing/2014/main" id="{00000000-0008-0000-0800-0000F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0" name="Text Box 268">
          <a:extLst>
            <a:ext uri="{FF2B5EF4-FFF2-40B4-BE49-F238E27FC236}">
              <a16:creationId xmlns:a16="http://schemas.microsoft.com/office/drawing/2014/main" id="{00000000-0008-0000-0800-0000F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1" name="Text Box 269">
          <a:extLst>
            <a:ext uri="{FF2B5EF4-FFF2-40B4-BE49-F238E27FC236}">
              <a16:creationId xmlns:a16="http://schemas.microsoft.com/office/drawing/2014/main" id="{00000000-0008-0000-0800-0000F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2" name="Text Box 270">
          <a:extLst>
            <a:ext uri="{FF2B5EF4-FFF2-40B4-BE49-F238E27FC236}">
              <a16:creationId xmlns:a16="http://schemas.microsoft.com/office/drawing/2014/main" id="{00000000-0008-0000-0800-0000F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3" name="Text Box 271">
          <a:extLst>
            <a:ext uri="{FF2B5EF4-FFF2-40B4-BE49-F238E27FC236}">
              <a16:creationId xmlns:a16="http://schemas.microsoft.com/office/drawing/2014/main" id="{00000000-0008-0000-0800-0000F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4" name="Text Box 272">
          <a:extLst>
            <a:ext uri="{FF2B5EF4-FFF2-40B4-BE49-F238E27FC236}">
              <a16:creationId xmlns:a16="http://schemas.microsoft.com/office/drawing/2014/main" id="{00000000-0008-0000-0800-00000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5" name="Text Box 273">
          <a:extLst>
            <a:ext uri="{FF2B5EF4-FFF2-40B4-BE49-F238E27FC236}">
              <a16:creationId xmlns:a16="http://schemas.microsoft.com/office/drawing/2014/main" id="{00000000-0008-0000-0800-00000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6" name="Text Box 274">
          <a:extLst>
            <a:ext uri="{FF2B5EF4-FFF2-40B4-BE49-F238E27FC236}">
              <a16:creationId xmlns:a16="http://schemas.microsoft.com/office/drawing/2014/main" id="{00000000-0008-0000-0800-00000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7" name="Text Box 275">
          <a:extLst>
            <a:ext uri="{FF2B5EF4-FFF2-40B4-BE49-F238E27FC236}">
              <a16:creationId xmlns:a16="http://schemas.microsoft.com/office/drawing/2014/main" id="{00000000-0008-0000-0800-00000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8" name="Text Box 276">
          <a:extLst>
            <a:ext uri="{FF2B5EF4-FFF2-40B4-BE49-F238E27FC236}">
              <a16:creationId xmlns:a16="http://schemas.microsoft.com/office/drawing/2014/main" id="{00000000-0008-0000-0800-00000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9" name="Text Box 277">
          <a:extLst>
            <a:ext uri="{FF2B5EF4-FFF2-40B4-BE49-F238E27FC236}">
              <a16:creationId xmlns:a16="http://schemas.microsoft.com/office/drawing/2014/main" id="{00000000-0008-0000-0800-00000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0" name="Text Box 278">
          <a:extLst>
            <a:ext uri="{FF2B5EF4-FFF2-40B4-BE49-F238E27FC236}">
              <a16:creationId xmlns:a16="http://schemas.microsoft.com/office/drawing/2014/main" id="{00000000-0008-0000-0800-00000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1" name="Text Box 279">
          <a:extLst>
            <a:ext uri="{FF2B5EF4-FFF2-40B4-BE49-F238E27FC236}">
              <a16:creationId xmlns:a16="http://schemas.microsoft.com/office/drawing/2014/main" id="{00000000-0008-0000-0800-00000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2" name="Text Box 280">
          <a:extLst>
            <a:ext uri="{FF2B5EF4-FFF2-40B4-BE49-F238E27FC236}">
              <a16:creationId xmlns:a16="http://schemas.microsoft.com/office/drawing/2014/main" id="{00000000-0008-0000-0800-00000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3" name="Text Box 281">
          <a:extLst>
            <a:ext uri="{FF2B5EF4-FFF2-40B4-BE49-F238E27FC236}">
              <a16:creationId xmlns:a16="http://schemas.microsoft.com/office/drawing/2014/main" id="{00000000-0008-0000-0800-00000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4" name="Text Box 282">
          <a:extLst>
            <a:ext uri="{FF2B5EF4-FFF2-40B4-BE49-F238E27FC236}">
              <a16:creationId xmlns:a16="http://schemas.microsoft.com/office/drawing/2014/main" id="{00000000-0008-0000-0800-00000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5" name="Text Box 283">
          <a:extLst>
            <a:ext uri="{FF2B5EF4-FFF2-40B4-BE49-F238E27FC236}">
              <a16:creationId xmlns:a16="http://schemas.microsoft.com/office/drawing/2014/main" id="{00000000-0008-0000-0800-00000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6" name="Text Box 284">
          <a:extLst>
            <a:ext uri="{FF2B5EF4-FFF2-40B4-BE49-F238E27FC236}">
              <a16:creationId xmlns:a16="http://schemas.microsoft.com/office/drawing/2014/main" id="{00000000-0008-0000-0800-00000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7" name="Text Box 285">
          <a:extLst>
            <a:ext uri="{FF2B5EF4-FFF2-40B4-BE49-F238E27FC236}">
              <a16:creationId xmlns:a16="http://schemas.microsoft.com/office/drawing/2014/main" id="{00000000-0008-0000-0800-00000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8" name="Text Box 286">
          <a:extLst>
            <a:ext uri="{FF2B5EF4-FFF2-40B4-BE49-F238E27FC236}">
              <a16:creationId xmlns:a16="http://schemas.microsoft.com/office/drawing/2014/main" id="{00000000-0008-0000-0800-00000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9" name="Text Box 287">
          <a:extLst>
            <a:ext uri="{FF2B5EF4-FFF2-40B4-BE49-F238E27FC236}">
              <a16:creationId xmlns:a16="http://schemas.microsoft.com/office/drawing/2014/main" id="{00000000-0008-0000-0800-00000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0" name="Text Box 288">
          <a:extLst>
            <a:ext uri="{FF2B5EF4-FFF2-40B4-BE49-F238E27FC236}">
              <a16:creationId xmlns:a16="http://schemas.microsoft.com/office/drawing/2014/main" id="{00000000-0008-0000-0800-00001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1" name="Text Box 289">
          <a:extLst>
            <a:ext uri="{FF2B5EF4-FFF2-40B4-BE49-F238E27FC236}">
              <a16:creationId xmlns:a16="http://schemas.microsoft.com/office/drawing/2014/main" id="{00000000-0008-0000-0800-00001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2" name="Text Box 290">
          <a:extLst>
            <a:ext uri="{FF2B5EF4-FFF2-40B4-BE49-F238E27FC236}">
              <a16:creationId xmlns:a16="http://schemas.microsoft.com/office/drawing/2014/main" id="{00000000-0008-0000-0800-00001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3" name="Text Box 291">
          <a:extLst>
            <a:ext uri="{FF2B5EF4-FFF2-40B4-BE49-F238E27FC236}">
              <a16:creationId xmlns:a16="http://schemas.microsoft.com/office/drawing/2014/main" id="{00000000-0008-0000-0800-00001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4" name="Text Box 292">
          <a:extLst>
            <a:ext uri="{FF2B5EF4-FFF2-40B4-BE49-F238E27FC236}">
              <a16:creationId xmlns:a16="http://schemas.microsoft.com/office/drawing/2014/main" id="{00000000-0008-0000-0800-00001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5" name="Text Box 293">
          <a:extLst>
            <a:ext uri="{FF2B5EF4-FFF2-40B4-BE49-F238E27FC236}">
              <a16:creationId xmlns:a16="http://schemas.microsoft.com/office/drawing/2014/main" id="{00000000-0008-0000-0800-00001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6" name="Text Box 294">
          <a:extLst>
            <a:ext uri="{FF2B5EF4-FFF2-40B4-BE49-F238E27FC236}">
              <a16:creationId xmlns:a16="http://schemas.microsoft.com/office/drawing/2014/main" id="{00000000-0008-0000-0800-00001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7" name="Text Box 295">
          <a:extLst>
            <a:ext uri="{FF2B5EF4-FFF2-40B4-BE49-F238E27FC236}">
              <a16:creationId xmlns:a16="http://schemas.microsoft.com/office/drawing/2014/main" id="{00000000-0008-0000-0800-00001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8" name="Text Box 296">
          <a:extLst>
            <a:ext uri="{FF2B5EF4-FFF2-40B4-BE49-F238E27FC236}">
              <a16:creationId xmlns:a16="http://schemas.microsoft.com/office/drawing/2014/main" id="{00000000-0008-0000-0800-00001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69" name="Text Box 297">
          <a:extLst>
            <a:ext uri="{FF2B5EF4-FFF2-40B4-BE49-F238E27FC236}">
              <a16:creationId xmlns:a16="http://schemas.microsoft.com/office/drawing/2014/main" id="{00000000-0008-0000-0800-00001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0" name="Text Box 298">
          <a:extLst>
            <a:ext uri="{FF2B5EF4-FFF2-40B4-BE49-F238E27FC236}">
              <a16:creationId xmlns:a16="http://schemas.microsoft.com/office/drawing/2014/main" id="{00000000-0008-0000-0800-00001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1" name="Text Box 299">
          <a:extLst>
            <a:ext uri="{FF2B5EF4-FFF2-40B4-BE49-F238E27FC236}">
              <a16:creationId xmlns:a16="http://schemas.microsoft.com/office/drawing/2014/main" id="{00000000-0008-0000-0800-00001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2" name="Text Box 300">
          <a:extLst>
            <a:ext uri="{FF2B5EF4-FFF2-40B4-BE49-F238E27FC236}">
              <a16:creationId xmlns:a16="http://schemas.microsoft.com/office/drawing/2014/main" id="{00000000-0008-0000-0800-00001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3" name="Text Box 301">
          <a:extLst>
            <a:ext uri="{FF2B5EF4-FFF2-40B4-BE49-F238E27FC236}">
              <a16:creationId xmlns:a16="http://schemas.microsoft.com/office/drawing/2014/main" id="{00000000-0008-0000-0800-00001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4" name="Text Box 302">
          <a:extLst>
            <a:ext uri="{FF2B5EF4-FFF2-40B4-BE49-F238E27FC236}">
              <a16:creationId xmlns:a16="http://schemas.microsoft.com/office/drawing/2014/main" id="{00000000-0008-0000-0800-00001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5" name="Text Box 303">
          <a:extLst>
            <a:ext uri="{FF2B5EF4-FFF2-40B4-BE49-F238E27FC236}">
              <a16:creationId xmlns:a16="http://schemas.microsoft.com/office/drawing/2014/main" id="{00000000-0008-0000-0800-00001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6" name="Text Box 304">
          <a:extLst>
            <a:ext uri="{FF2B5EF4-FFF2-40B4-BE49-F238E27FC236}">
              <a16:creationId xmlns:a16="http://schemas.microsoft.com/office/drawing/2014/main" id="{00000000-0008-0000-0800-00002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7" name="Text Box 305">
          <a:extLst>
            <a:ext uri="{FF2B5EF4-FFF2-40B4-BE49-F238E27FC236}">
              <a16:creationId xmlns:a16="http://schemas.microsoft.com/office/drawing/2014/main" id="{00000000-0008-0000-0800-00002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8" name="Text Box 306">
          <a:extLst>
            <a:ext uri="{FF2B5EF4-FFF2-40B4-BE49-F238E27FC236}">
              <a16:creationId xmlns:a16="http://schemas.microsoft.com/office/drawing/2014/main" id="{00000000-0008-0000-0800-00002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9" name="Text Box 307">
          <a:extLst>
            <a:ext uri="{FF2B5EF4-FFF2-40B4-BE49-F238E27FC236}">
              <a16:creationId xmlns:a16="http://schemas.microsoft.com/office/drawing/2014/main" id="{00000000-0008-0000-0800-00002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0" name="Text Box 308">
          <a:extLst>
            <a:ext uri="{FF2B5EF4-FFF2-40B4-BE49-F238E27FC236}">
              <a16:creationId xmlns:a16="http://schemas.microsoft.com/office/drawing/2014/main" id="{00000000-0008-0000-0800-00002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1" name="Text Box 309">
          <a:extLst>
            <a:ext uri="{FF2B5EF4-FFF2-40B4-BE49-F238E27FC236}">
              <a16:creationId xmlns:a16="http://schemas.microsoft.com/office/drawing/2014/main" id="{00000000-0008-0000-0800-00002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2" name="Text Box 310">
          <a:extLst>
            <a:ext uri="{FF2B5EF4-FFF2-40B4-BE49-F238E27FC236}">
              <a16:creationId xmlns:a16="http://schemas.microsoft.com/office/drawing/2014/main" id="{00000000-0008-0000-0800-00002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3" name="Text Box 311">
          <a:extLst>
            <a:ext uri="{FF2B5EF4-FFF2-40B4-BE49-F238E27FC236}">
              <a16:creationId xmlns:a16="http://schemas.microsoft.com/office/drawing/2014/main" id="{00000000-0008-0000-0800-00002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4" name="Text Box 312">
          <a:extLst>
            <a:ext uri="{FF2B5EF4-FFF2-40B4-BE49-F238E27FC236}">
              <a16:creationId xmlns:a16="http://schemas.microsoft.com/office/drawing/2014/main" id="{00000000-0008-0000-0800-00002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5" name="Text Box 313">
          <a:extLst>
            <a:ext uri="{FF2B5EF4-FFF2-40B4-BE49-F238E27FC236}">
              <a16:creationId xmlns:a16="http://schemas.microsoft.com/office/drawing/2014/main" id="{00000000-0008-0000-0800-00002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6" name="Text Box 314">
          <a:extLst>
            <a:ext uri="{FF2B5EF4-FFF2-40B4-BE49-F238E27FC236}">
              <a16:creationId xmlns:a16="http://schemas.microsoft.com/office/drawing/2014/main" id="{00000000-0008-0000-0800-00002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7" name="Text Box 315">
          <a:extLst>
            <a:ext uri="{FF2B5EF4-FFF2-40B4-BE49-F238E27FC236}">
              <a16:creationId xmlns:a16="http://schemas.microsoft.com/office/drawing/2014/main" id="{00000000-0008-0000-0800-00002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8" name="Text Box 316">
          <a:extLst>
            <a:ext uri="{FF2B5EF4-FFF2-40B4-BE49-F238E27FC236}">
              <a16:creationId xmlns:a16="http://schemas.microsoft.com/office/drawing/2014/main" id="{00000000-0008-0000-0800-00002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9" name="Text Box 317">
          <a:extLst>
            <a:ext uri="{FF2B5EF4-FFF2-40B4-BE49-F238E27FC236}">
              <a16:creationId xmlns:a16="http://schemas.microsoft.com/office/drawing/2014/main" id="{00000000-0008-0000-0800-00002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0" name="Text Box 318">
          <a:extLst>
            <a:ext uri="{FF2B5EF4-FFF2-40B4-BE49-F238E27FC236}">
              <a16:creationId xmlns:a16="http://schemas.microsoft.com/office/drawing/2014/main" id="{00000000-0008-0000-0800-00002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1" name="Text Box 319">
          <a:extLst>
            <a:ext uri="{FF2B5EF4-FFF2-40B4-BE49-F238E27FC236}">
              <a16:creationId xmlns:a16="http://schemas.microsoft.com/office/drawing/2014/main" id="{00000000-0008-0000-0800-00002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2" name="Text Box 320">
          <a:extLst>
            <a:ext uri="{FF2B5EF4-FFF2-40B4-BE49-F238E27FC236}">
              <a16:creationId xmlns:a16="http://schemas.microsoft.com/office/drawing/2014/main" id="{00000000-0008-0000-0800-00003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3" name="Text Box 28">
          <a:extLst>
            <a:ext uri="{FF2B5EF4-FFF2-40B4-BE49-F238E27FC236}">
              <a16:creationId xmlns:a16="http://schemas.microsoft.com/office/drawing/2014/main" id="{00000000-0008-0000-0800-00003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4" name="Text Box 29">
          <a:extLst>
            <a:ext uri="{FF2B5EF4-FFF2-40B4-BE49-F238E27FC236}">
              <a16:creationId xmlns:a16="http://schemas.microsoft.com/office/drawing/2014/main" id="{00000000-0008-0000-0800-00003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5" name="Text Box 30">
          <a:extLst>
            <a:ext uri="{FF2B5EF4-FFF2-40B4-BE49-F238E27FC236}">
              <a16:creationId xmlns:a16="http://schemas.microsoft.com/office/drawing/2014/main" id="{00000000-0008-0000-0800-00003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6" name="Text Box 31">
          <a:extLst>
            <a:ext uri="{FF2B5EF4-FFF2-40B4-BE49-F238E27FC236}">
              <a16:creationId xmlns:a16="http://schemas.microsoft.com/office/drawing/2014/main" id="{00000000-0008-0000-0800-00003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7" name="Text Box 32">
          <a:extLst>
            <a:ext uri="{FF2B5EF4-FFF2-40B4-BE49-F238E27FC236}">
              <a16:creationId xmlns:a16="http://schemas.microsoft.com/office/drawing/2014/main" id="{00000000-0008-0000-0800-00003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8" name="Text Box 33">
          <a:extLst>
            <a:ext uri="{FF2B5EF4-FFF2-40B4-BE49-F238E27FC236}">
              <a16:creationId xmlns:a16="http://schemas.microsoft.com/office/drawing/2014/main" id="{00000000-0008-0000-0800-00003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9" name="Text Box 34">
          <a:extLst>
            <a:ext uri="{FF2B5EF4-FFF2-40B4-BE49-F238E27FC236}">
              <a16:creationId xmlns:a16="http://schemas.microsoft.com/office/drawing/2014/main" id="{00000000-0008-0000-0800-00003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0" name="Text Box 35">
          <a:extLst>
            <a:ext uri="{FF2B5EF4-FFF2-40B4-BE49-F238E27FC236}">
              <a16:creationId xmlns:a16="http://schemas.microsoft.com/office/drawing/2014/main" id="{00000000-0008-0000-0800-00003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1" name="Text Box 36">
          <a:extLst>
            <a:ext uri="{FF2B5EF4-FFF2-40B4-BE49-F238E27FC236}">
              <a16:creationId xmlns:a16="http://schemas.microsoft.com/office/drawing/2014/main" id="{00000000-0008-0000-0800-00003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2" name="Text Box 37">
          <a:extLst>
            <a:ext uri="{FF2B5EF4-FFF2-40B4-BE49-F238E27FC236}">
              <a16:creationId xmlns:a16="http://schemas.microsoft.com/office/drawing/2014/main" id="{00000000-0008-0000-0800-00003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3" name="Text Box 38">
          <a:extLst>
            <a:ext uri="{FF2B5EF4-FFF2-40B4-BE49-F238E27FC236}">
              <a16:creationId xmlns:a16="http://schemas.microsoft.com/office/drawing/2014/main" id="{00000000-0008-0000-0800-00003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4" name="Text Box 39">
          <a:extLst>
            <a:ext uri="{FF2B5EF4-FFF2-40B4-BE49-F238E27FC236}">
              <a16:creationId xmlns:a16="http://schemas.microsoft.com/office/drawing/2014/main" id="{00000000-0008-0000-0800-00003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5" name="Text Box 40">
          <a:extLst>
            <a:ext uri="{FF2B5EF4-FFF2-40B4-BE49-F238E27FC236}">
              <a16:creationId xmlns:a16="http://schemas.microsoft.com/office/drawing/2014/main" id="{00000000-0008-0000-0800-00003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6" name="Text Box 41">
          <a:extLst>
            <a:ext uri="{FF2B5EF4-FFF2-40B4-BE49-F238E27FC236}">
              <a16:creationId xmlns:a16="http://schemas.microsoft.com/office/drawing/2014/main" id="{00000000-0008-0000-0800-00003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7" name="Text Box 42">
          <a:extLst>
            <a:ext uri="{FF2B5EF4-FFF2-40B4-BE49-F238E27FC236}">
              <a16:creationId xmlns:a16="http://schemas.microsoft.com/office/drawing/2014/main" id="{00000000-0008-0000-0800-00003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8" name="Text Box 43">
          <a:extLst>
            <a:ext uri="{FF2B5EF4-FFF2-40B4-BE49-F238E27FC236}">
              <a16:creationId xmlns:a16="http://schemas.microsoft.com/office/drawing/2014/main" id="{00000000-0008-0000-0800-00004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9" name="Text Box 44">
          <a:extLst>
            <a:ext uri="{FF2B5EF4-FFF2-40B4-BE49-F238E27FC236}">
              <a16:creationId xmlns:a16="http://schemas.microsoft.com/office/drawing/2014/main" id="{00000000-0008-0000-0800-00004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0" name="Text Box 45">
          <a:extLst>
            <a:ext uri="{FF2B5EF4-FFF2-40B4-BE49-F238E27FC236}">
              <a16:creationId xmlns:a16="http://schemas.microsoft.com/office/drawing/2014/main" id="{00000000-0008-0000-0800-00004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1" name="Text Box 46">
          <a:extLst>
            <a:ext uri="{FF2B5EF4-FFF2-40B4-BE49-F238E27FC236}">
              <a16:creationId xmlns:a16="http://schemas.microsoft.com/office/drawing/2014/main" id="{00000000-0008-0000-0800-00004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2" name="Text Box 47">
          <a:extLst>
            <a:ext uri="{FF2B5EF4-FFF2-40B4-BE49-F238E27FC236}">
              <a16:creationId xmlns:a16="http://schemas.microsoft.com/office/drawing/2014/main" id="{00000000-0008-0000-0800-00004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3" name="Text Box 48">
          <a:extLst>
            <a:ext uri="{FF2B5EF4-FFF2-40B4-BE49-F238E27FC236}">
              <a16:creationId xmlns:a16="http://schemas.microsoft.com/office/drawing/2014/main" id="{00000000-0008-0000-0800-00004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4" name="Text Box 49">
          <a:extLst>
            <a:ext uri="{FF2B5EF4-FFF2-40B4-BE49-F238E27FC236}">
              <a16:creationId xmlns:a16="http://schemas.microsoft.com/office/drawing/2014/main" id="{00000000-0008-0000-0800-00004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5" name="Text Box 50">
          <a:extLst>
            <a:ext uri="{FF2B5EF4-FFF2-40B4-BE49-F238E27FC236}">
              <a16:creationId xmlns:a16="http://schemas.microsoft.com/office/drawing/2014/main" id="{00000000-0008-0000-0800-00004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6" name="Text Box 51">
          <a:extLst>
            <a:ext uri="{FF2B5EF4-FFF2-40B4-BE49-F238E27FC236}">
              <a16:creationId xmlns:a16="http://schemas.microsoft.com/office/drawing/2014/main" id="{00000000-0008-0000-0800-00004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7" name="Text Box 52">
          <a:extLst>
            <a:ext uri="{FF2B5EF4-FFF2-40B4-BE49-F238E27FC236}">
              <a16:creationId xmlns:a16="http://schemas.microsoft.com/office/drawing/2014/main" id="{00000000-0008-0000-0800-00004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8" name="Text Box 53">
          <a:extLst>
            <a:ext uri="{FF2B5EF4-FFF2-40B4-BE49-F238E27FC236}">
              <a16:creationId xmlns:a16="http://schemas.microsoft.com/office/drawing/2014/main" id="{00000000-0008-0000-0800-00004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9" name="Text Box 54">
          <a:extLst>
            <a:ext uri="{FF2B5EF4-FFF2-40B4-BE49-F238E27FC236}">
              <a16:creationId xmlns:a16="http://schemas.microsoft.com/office/drawing/2014/main" id="{00000000-0008-0000-0800-00004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0" name="Text Box 55">
          <a:extLst>
            <a:ext uri="{FF2B5EF4-FFF2-40B4-BE49-F238E27FC236}">
              <a16:creationId xmlns:a16="http://schemas.microsoft.com/office/drawing/2014/main" id="{00000000-0008-0000-0800-00004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1" name="Text Box 56">
          <a:extLst>
            <a:ext uri="{FF2B5EF4-FFF2-40B4-BE49-F238E27FC236}">
              <a16:creationId xmlns:a16="http://schemas.microsoft.com/office/drawing/2014/main" id="{00000000-0008-0000-0800-00004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2" name="Text Box 57">
          <a:extLst>
            <a:ext uri="{FF2B5EF4-FFF2-40B4-BE49-F238E27FC236}">
              <a16:creationId xmlns:a16="http://schemas.microsoft.com/office/drawing/2014/main" id="{00000000-0008-0000-0800-00004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3" name="Text Box 58">
          <a:extLst>
            <a:ext uri="{FF2B5EF4-FFF2-40B4-BE49-F238E27FC236}">
              <a16:creationId xmlns:a16="http://schemas.microsoft.com/office/drawing/2014/main" id="{00000000-0008-0000-0800-00004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4" name="Text Box 59">
          <a:extLst>
            <a:ext uri="{FF2B5EF4-FFF2-40B4-BE49-F238E27FC236}">
              <a16:creationId xmlns:a16="http://schemas.microsoft.com/office/drawing/2014/main" id="{00000000-0008-0000-0800-00005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5" name="Text Box 60">
          <a:extLst>
            <a:ext uri="{FF2B5EF4-FFF2-40B4-BE49-F238E27FC236}">
              <a16:creationId xmlns:a16="http://schemas.microsoft.com/office/drawing/2014/main" id="{00000000-0008-0000-0800-00005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6" name="Text Box 61">
          <a:extLst>
            <a:ext uri="{FF2B5EF4-FFF2-40B4-BE49-F238E27FC236}">
              <a16:creationId xmlns:a16="http://schemas.microsoft.com/office/drawing/2014/main" id="{00000000-0008-0000-0800-00005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7" name="Text Box 62">
          <a:extLst>
            <a:ext uri="{FF2B5EF4-FFF2-40B4-BE49-F238E27FC236}">
              <a16:creationId xmlns:a16="http://schemas.microsoft.com/office/drawing/2014/main" id="{00000000-0008-0000-0800-00005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8" name="Text Box 63">
          <a:extLst>
            <a:ext uri="{FF2B5EF4-FFF2-40B4-BE49-F238E27FC236}">
              <a16:creationId xmlns:a16="http://schemas.microsoft.com/office/drawing/2014/main" id="{00000000-0008-0000-0800-00005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9" name="Text Box 64">
          <a:extLst>
            <a:ext uri="{FF2B5EF4-FFF2-40B4-BE49-F238E27FC236}">
              <a16:creationId xmlns:a16="http://schemas.microsoft.com/office/drawing/2014/main" id="{00000000-0008-0000-0800-00005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0" name="Text Box 65">
          <a:extLst>
            <a:ext uri="{FF2B5EF4-FFF2-40B4-BE49-F238E27FC236}">
              <a16:creationId xmlns:a16="http://schemas.microsoft.com/office/drawing/2014/main" id="{00000000-0008-0000-0800-00005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1" name="Text Box 66">
          <a:extLst>
            <a:ext uri="{FF2B5EF4-FFF2-40B4-BE49-F238E27FC236}">
              <a16:creationId xmlns:a16="http://schemas.microsoft.com/office/drawing/2014/main" id="{00000000-0008-0000-0800-00005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2" name="Text Box 67">
          <a:extLst>
            <a:ext uri="{FF2B5EF4-FFF2-40B4-BE49-F238E27FC236}">
              <a16:creationId xmlns:a16="http://schemas.microsoft.com/office/drawing/2014/main" id="{00000000-0008-0000-0800-00005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3" name="Text Box 68">
          <a:extLst>
            <a:ext uri="{FF2B5EF4-FFF2-40B4-BE49-F238E27FC236}">
              <a16:creationId xmlns:a16="http://schemas.microsoft.com/office/drawing/2014/main" id="{00000000-0008-0000-0800-00005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4" name="Text Box 69">
          <a:extLst>
            <a:ext uri="{FF2B5EF4-FFF2-40B4-BE49-F238E27FC236}">
              <a16:creationId xmlns:a16="http://schemas.microsoft.com/office/drawing/2014/main" id="{00000000-0008-0000-0800-00005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5" name="Text Box 70">
          <a:extLst>
            <a:ext uri="{FF2B5EF4-FFF2-40B4-BE49-F238E27FC236}">
              <a16:creationId xmlns:a16="http://schemas.microsoft.com/office/drawing/2014/main" id="{00000000-0008-0000-0800-00005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6" name="Text Box 71">
          <a:extLst>
            <a:ext uri="{FF2B5EF4-FFF2-40B4-BE49-F238E27FC236}">
              <a16:creationId xmlns:a16="http://schemas.microsoft.com/office/drawing/2014/main" id="{00000000-0008-0000-0800-00005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7" name="Text Box 72">
          <a:extLst>
            <a:ext uri="{FF2B5EF4-FFF2-40B4-BE49-F238E27FC236}">
              <a16:creationId xmlns:a16="http://schemas.microsoft.com/office/drawing/2014/main" id="{00000000-0008-0000-0800-00005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8" name="Text Box 73">
          <a:extLst>
            <a:ext uri="{FF2B5EF4-FFF2-40B4-BE49-F238E27FC236}">
              <a16:creationId xmlns:a16="http://schemas.microsoft.com/office/drawing/2014/main" id="{00000000-0008-0000-0800-00005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9" name="Text Box 74">
          <a:extLst>
            <a:ext uri="{FF2B5EF4-FFF2-40B4-BE49-F238E27FC236}">
              <a16:creationId xmlns:a16="http://schemas.microsoft.com/office/drawing/2014/main" id="{00000000-0008-0000-0800-00005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0" name="Text Box 75">
          <a:extLst>
            <a:ext uri="{FF2B5EF4-FFF2-40B4-BE49-F238E27FC236}">
              <a16:creationId xmlns:a16="http://schemas.microsoft.com/office/drawing/2014/main" id="{00000000-0008-0000-0800-00006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1" name="Text Box 76">
          <a:extLst>
            <a:ext uri="{FF2B5EF4-FFF2-40B4-BE49-F238E27FC236}">
              <a16:creationId xmlns:a16="http://schemas.microsoft.com/office/drawing/2014/main" id="{00000000-0008-0000-0800-00006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2" name="Text Box 77">
          <a:extLst>
            <a:ext uri="{FF2B5EF4-FFF2-40B4-BE49-F238E27FC236}">
              <a16:creationId xmlns:a16="http://schemas.microsoft.com/office/drawing/2014/main" id="{00000000-0008-0000-0800-00006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3" name="Text Box 78">
          <a:extLst>
            <a:ext uri="{FF2B5EF4-FFF2-40B4-BE49-F238E27FC236}">
              <a16:creationId xmlns:a16="http://schemas.microsoft.com/office/drawing/2014/main" id="{00000000-0008-0000-0800-00006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4" name="Text Box 79">
          <a:extLst>
            <a:ext uri="{FF2B5EF4-FFF2-40B4-BE49-F238E27FC236}">
              <a16:creationId xmlns:a16="http://schemas.microsoft.com/office/drawing/2014/main" id="{00000000-0008-0000-0800-00006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5" name="Text Box 80">
          <a:extLst>
            <a:ext uri="{FF2B5EF4-FFF2-40B4-BE49-F238E27FC236}">
              <a16:creationId xmlns:a16="http://schemas.microsoft.com/office/drawing/2014/main" id="{00000000-0008-0000-0800-00006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6" name="Text Box 81">
          <a:extLst>
            <a:ext uri="{FF2B5EF4-FFF2-40B4-BE49-F238E27FC236}">
              <a16:creationId xmlns:a16="http://schemas.microsoft.com/office/drawing/2014/main" id="{00000000-0008-0000-0800-00006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7" name="Text Box 82">
          <a:extLst>
            <a:ext uri="{FF2B5EF4-FFF2-40B4-BE49-F238E27FC236}">
              <a16:creationId xmlns:a16="http://schemas.microsoft.com/office/drawing/2014/main" id="{00000000-0008-0000-0800-00006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8" name="Text Box 83">
          <a:extLst>
            <a:ext uri="{FF2B5EF4-FFF2-40B4-BE49-F238E27FC236}">
              <a16:creationId xmlns:a16="http://schemas.microsoft.com/office/drawing/2014/main" id="{00000000-0008-0000-0800-00006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9" name="Text Box 84">
          <a:extLst>
            <a:ext uri="{FF2B5EF4-FFF2-40B4-BE49-F238E27FC236}">
              <a16:creationId xmlns:a16="http://schemas.microsoft.com/office/drawing/2014/main" id="{00000000-0008-0000-0800-00006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0" name="Text Box 85">
          <a:extLst>
            <a:ext uri="{FF2B5EF4-FFF2-40B4-BE49-F238E27FC236}">
              <a16:creationId xmlns:a16="http://schemas.microsoft.com/office/drawing/2014/main" id="{00000000-0008-0000-0800-00006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1" name="Text Box 86">
          <a:extLst>
            <a:ext uri="{FF2B5EF4-FFF2-40B4-BE49-F238E27FC236}">
              <a16:creationId xmlns:a16="http://schemas.microsoft.com/office/drawing/2014/main" id="{00000000-0008-0000-0800-00006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2" name="Text Box 87">
          <a:extLst>
            <a:ext uri="{FF2B5EF4-FFF2-40B4-BE49-F238E27FC236}">
              <a16:creationId xmlns:a16="http://schemas.microsoft.com/office/drawing/2014/main" id="{00000000-0008-0000-0800-00006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3" name="Text Box 88">
          <a:extLst>
            <a:ext uri="{FF2B5EF4-FFF2-40B4-BE49-F238E27FC236}">
              <a16:creationId xmlns:a16="http://schemas.microsoft.com/office/drawing/2014/main" id="{00000000-0008-0000-0800-00006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4" name="Text Box 89">
          <a:extLst>
            <a:ext uri="{FF2B5EF4-FFF2-40B4-BE49-F238E27FC236}">
              <a16:creationId xmlns:a16="http://schemas.microsoft.com/office/drawing/2014/main" id="{00000000-0008-0000-0800-00006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5" name="Text Box 90">
          <a:extLst>
            <a:ext uri="{FF2B5EF4-FFF2-40B4-BE49-F238E27FC236}">
              <a16:creationId xmlns:a16="http://schemas.microsoft.com/office/drawing/2014/main" id="{00000000-0008-0000-0800-00006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6" name="Text Box 91">
          <a:extLst>
            <a:ext uri="{FF2B5EF4-FFF2-40B4-BE49-F238E27FC236}">
              <a16:creationId xmlns:a16="http://schemas.microsoft.com/office/drawing/2014/main" id="{00000000-0008-0000-0800-00007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7" name="Text Box 92">
          <a:extLst>
            <a:ext uri="{FF2B5EF4-FFF2-40B4-BE49-F238E27FC236}">
              <a16:creationId xmlns:a16="http://schemas.microsoft.com/office/drawing/2014/main" id="{00000000-0008-0000-0800-00007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8" name="Text Box 93">
          <a:extLst>
            <a:ext uri="{FF2B5EF4-FFF2-40B4-BE49-F238E27FC236}">
              <a16:creationId xmlns:a16="http://schemas.microsoft.com/office/drawing/2014/main" id="{00000000-0008-0000-0800-00007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9" name="Text Box 94">
          <a:extLst>
            <a:ext uri="{FF2B5EF4-FFF2-40B4-BE49-F238E27FC236}">
              <a16:creationId xmlns:a16="http://schemas.microsoft.com/office/drawing/2014/main" id="{00000000-0008-0000-0800-00007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0" name="Text Box 95">
          <a:extLst>
            <a:ext uri="{FF2B5EF4-FFF2-40B4-BE49-F238E27FC236}">
              <a16:creationId xmlns:a16="http://schemas.microsoft.com/office/drawing/2014/main" id="{00000000-0008-0000-0800-00007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1" name="Text Box 96">
          <a:extLst>
            <a:ext uri="{FF2B5EF4-FFF2-40B4-BE49-F238E27FC236}">
              <a16:creationId xmlns:a16="http://schemas.microsoft.com/office/drawing/2014/main" id="{00000000-0008-0000-0800-00007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2" name="Text Box 97">
          <a:extLst>
            <a:ext uri="{FF2B5EF4-FFF2-40B4-BE49-F238E27FC236}">
              <a16:creationId xmlns:a16="http://schemas.microsoft.com/office/drawing/2014/main" id="{00000000-0008-0000-0800-00007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3" name="Text Box 100">
          <a:extLst>
            <a:ext uri="{FF2B5EF4-FFF2-40B4-BE49-F238E27FC236}">
              <a16:creationId xmlns:a16="http://schemas.microsoft.com/office/drawing/2014/main" id="{00000000-0008-0000-0800-00007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4" name="Text Box 101">
          <a:extLst>
            <a:ext uri="{FF2B5EF4-FFF2-40B4-BE49-F238E27FC236}">
              <a16:creationId xmlns:a16="http://schemas.microsoft.com/office/drawing/2014/main" id="{00000000-0008-0000-0800-00007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5" name="Text Box 102">
          <a:extLst>
            <a:ext uri="{FF2B5EF4-FFF2-40B4-BE49-F238E27FC236}">
              <a16:creationId xmlns:a16="http://schemas.microsoft.com/office/drawing/2014/main" id="{00000000-0008-0000-0800-00007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6" name="Text Box 103">
          <a:extLst>
            <a:ext uri="{FF2B5EF4-FFF2-40B4-BE49-F238E27FC236}">
              <a16:creationId xmlns:a16="http://schemas.microsoft.com/office/drawing/2014/main" id="{00000000-0008-0000-0800-00007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7" name="Text Box 104">
          <a:extLst>
            <a:ext uri="{FF2B5EF4-FFF2-40B4-BE49-F238E27FC236}">
              <a16:creationId xmlns:a16="http://schemas.microsoft.com/office/drawing/2014/main" id="{00000000-0008-0000-0800-00007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8" name="Text Box 105">
          <a:extLst>
            <a:ext uri="{FF2B5EF4-FFF2-40B4-BE49-F238E27FC236}">
              <a16:creationId xmlns:a16="http://schemas.microsoft.com/office/drawing/2014/main" id="{00000000-0008-0000-0800-00007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9" name="Text Box 106">
          <a:extLst>
            <a:ext uri="{FF2B5EF4-FFF2-40B4-BE49-F238E27FC236}">
              <a16:creationId xmlns:a16="http://schemas.microsoft.com/office/drawing/2014/main" id="{00000000-0008-0000-0800-00007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0" name="Text Box 107">
          <a:extLst>
            <a:ext uri="{FF2B5EF4-FFF2-40B4-BE49-F238E27FC236}">
              <a16:creationId xmlns:a16="http://schemas.microsoft.com/office/drawing/2014/main" id="{00000000-0008-0000-0800-00007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1" name="Text Box 108">
          <a:extLst>
            <a:ext uri="{FF2B5EF4-FFF2-40B4-BE49-F238E27FC236}">
              <a16:creationId xmlns:a16="http://schemas.microsoft.com/office/drawing/2014/main" id="{00000000-0008-0000-0800-00007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2" name="Text Box 109">
          <a:extLst>
            <a:ext uri="{FF2B5EF4-FFF2-40B4-BE49-F238E27FC236}">
              <a16:creationId xmlns:a16="http://schemas.microsoft.com/office/drawing/2014/main" id="{00000000-0008-0000-0800-00008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3" name="Text Box 110">
          <a:extLst>
            <a:ext uri="{FF2B5EF4-FFF2-40B4-BE49-F238E27FC236}">
              <a16:creationId xmlns:a16="http://schemas.microsoft.com/office/drawing/2014/main" id="{00000000-0008-0000-0800-00008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4" name="Text Box 111">
          <a:extLst>
            <a:ext uri="{FF2B5EF4-FFF2-40B4-BE49-F238E27FC236}">
              <a16:creationId xmlns:a16="http://schemas.microsoft.com/office/drawing/2014/main" id="{00000000-0008-0000-0800-00008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5" name="Text Box 119">
          <a:extLst>
            <a:ext uri="{FF2B5EF4-FFF2-40B4-BE49-F238E27FC236}">
              <a16:creationId xmlns:a16="http://schemas.microsoft.com/office/drawing/2014/main" id="{00000000-0008-0000-0800-00008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6" name="Text Box 120">
          <a:extLst>
            <a:ext uri="{FF2B5EF4-FFF2-40B4-BE49-F238E27FC236}">
              <a16:creationId xmlns:a16="http://schemas.microsoft.com/office/drawing/2014/main" id="{00000000-0008-0000-0800-00008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7" name="Text Box 121">
          <a:extLst>
            <a:ext uri="{FF2B5EF4-FFF2-40B4-BE49-F238E27FC236}">
              <a16:creationId xmlns:a16="http://schemas.microsoft.com/office/drawing/2014/main" id="{00000000-0008-0000-0800-00008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8" name="Text Box 122">
          <a:extLst>
            <a:ext uri="{FF2B5EF4-FFF2-40B4-BE49-F238E27FC236}">
              <a16:creationId xmlns:a16="http://schemas.microsoft.com/office/drawing/2014/main" id="{00000000-0008-0000-0800-00008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9" name="Text Box 123">
          <a:extLst>
            <a:ext uri="{FF2B5EF4-FFF2-40B4-BE49-F238E27FC236}">
              <a16:creationId xmlns:a16="http://schemas.microsoft.com/office/drawing/2014/main" id="{00000000-0008-0000-0800-00008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0" name="Text Box 124">
          <a:extLst>
            <a:ext uri="{FF2B5EF4-FFF2-40B4-BE49-F238E27FC236}">
              <a16:creationId xmlns:a16="http://schemas.microsoft.com/office/drawing/2014/main" id="{00000000-0008-0000-0800-00008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1" name="Text Box 125">
          <a:extLst>
            <a:ext uri="{FF2B5EF4-FFF2-40B4-BE49-F238E27FC236}">
              <a16:creationId xmlns:a16="http://schemas.microsoft.com/office/drawing/2014/main" id="{00000000-0008-0000-0800-00008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2" name="Text Box 126">
          <a:extLst>
            <a:ext uri="{FF2B5EF4-FFF2-40B4-BE49-F238E27FC236}">
              <a16:creationId xmlns:a16="http://schemas.microsoft.com/office/drawing/2014/main" id="{00000000-0008-0000-0800-00008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3" name="Text Box 127">
          <a:extLst>
            <a:ext uri="{FF2B5EF4-FFF2-40B4-BE49-F238E27FC236}">
              <a16:creationId xmlns:a16="http://schemas.microsoft.com/office/drawing/2014/main" id="{00000000-0008-0000-0800-00008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4" name="Text Box 128">
          <a:extLst>
            <a:ext uri="{FF2B5EF4-FFF2-40B4-BE49-F238E27FC236}">
              <a16:creationId xmlns:a16="http://schemas.microsoft.com/office/drawing/2014/main" id="{00000000-0008-0000-0800-00008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5" name="Text Box 129">
          <a:extLst>
            <a:ext uri="{FF2B5EF4-FFF2-40B4-BE49-F238E27FC236}">
              <a16:creationId xmlns:a16="http://schemas.microsoft.com/office/drawing/2014/main" id="{00000000-0008-0000-0800-00008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6" name="Text Box 130">
          <a:extLst>
            <a:ext uri="{FF2B5EF4-FFF2-40B4-BE49-F238E27FC236}">
              <a16:creationId xmlns:a16="http://schemas.microsoft.com/office/drawing/2014/main" id="{00000000-0008-0000-0800-00008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7" name="Text Box 133">
          <a:extLst>
            <a:ext uri="{FF2B5EF4-FFF2-40B4-BE49-F238E27FC236}">
              <a16:creationId xmlns:a16="http://schemas.microsoft.com/office/drawing/2014/main" id="{00000000-0008-0000-0800-00008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8" name="Text Box 134">
          <a:extLst>
            <a:ext uri="{FF2B5EF4-FFF2-40B4-BE49-F238E27FC236}">
              <a16:creationId xmlns:a16="http://schemas.microsoft.com/office/drawing/2014/main" id="{00000000-0008-0000-0800-00009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9" name="Text Box 135">
          <a:extLst>
            <a:ext uri="{FF2B5EF4-FFF2-40B4-BE49-F238E27FC236}">
              <a16:creationId xmlns:a16="http://schemas.microsoft.com/office/drawing/2014/main" id="{00000000-0008-0000-0800-00009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0" name="Text Box 136">
          <a:extLst>
            <a:ext uri="{FF2B5EF4-FFF2-40B4-BE49-F238E27FC236}">
              <a16:creationId xmlns:a16="http://schemas.microsoft.com/office/drawing/2014/main" id="{00000000-0008-0000-0800-00009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1" name="Text Box 137">
          <a:extLst>
            <a:ext uri="{FF2B5EF4-FFF2-40B4-BE49-F238E27FC236}">
              <a16:creationId xmlns:a16="http://schemas.microsoft.com/office/drawing/2014/main" id="{00000000-0008-0000-0800-00009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2" name="Text Box 138">
          <a:extLst>
            <a:ext uri="{FF2B5EF4-FFF2-40B4-BE49-F238E27FC236}">
              <a16:creationId xmlns:a16="http://schemas.microsoft.com/office/drawing/2014/main" id="{00000000-0008-0000-0800-00009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3" name="Text Box 139">
          <a:extLst>
            <a:ext uri="{FF2B5EF4-FFF2-40B4-BE49-F238E27FC236}">
              <a16:creationId xmlns:a16="http://schemas.microsoft.com/office/drawing/2014/main" id="{00000000-0008-0000-0800-00009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4" name="Text Box 140">
          <a:extLst>
            <a:ext uri="{FF2B5EF4-FFF2-40B4-BE49-F238E27FC236}">
              <a16:creationId xmlns:a16="http://schemas.microsoft.com/office/drawing/2014/main" id="{00000000-0008-0000-0800-00009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5" name="Text Box 141">
          <a:extLst>
            <a:ext uri="{FF2B5EF4-FFF2-40B4-BE49-F238E27FC236}">
              <a16:creationId xmlns:a16="http://schemas.microsoft.com/office/drawing/2014/main" id="{00000000-0008-0000-0800-00009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6" name="Text Box 142">
          <a:extLst>
            <a:ext uri="{FF2B5EF4-FFF2-40B4-BE49-F238E27FC236}">
              <a16:creationId xmlns:a16="http://schemas.microsoft.com/office/drawing/2014/main" id="{00000000-0008-0000-0800-00009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7" name="Text Box 143">
          <a:extLst>
            <a:ext uri="{FF2B5EF4-FFF2-40B4-BE49-F238E27FC236}">
              <a16:creationId xmlns:a16="http://schemas.microsoft.com/office/drawing/2014/main" id="{00000000-0008-0000-0800-00009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8" name="Text Box 144">
          <a:extLst>
            <a:ext uri="{FF2B5EF4-FFF2-40B4-BE49-F238E27FC236}">
              <a16:creationId xmlns:a16="http://schemas.microsoft.com/office/drawing/2014/main" id="{00000000-0008-0000-0800-00009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9" name="Text Box 145">
          <a:extLst>
            <a:ext uri="{FF2B5EF4-FFF2-40B4-BE49-F238E27FC236}">
              <a16:creationId xmlns:a16="http://schemas.microsoft.com/office/drawing/2014/main" id="{00000000-0008-0000-0800-00009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0" name="Text Box 146">
          <a:extLst>
            <a:ext uri="{FF2B5EF4-FFF2-40B4-BE49-F238E27FC236}">
              <a16:creationId xmlns:a16="http://schemas.microsoft.com/office/drawing/2014/main" id="{00000000-0008-0000-0800-00009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1" name="Text Box 147">
          <a:extLst>
            <a:ext uri="{FF2B5EF4-FFF2-40B4-BE49-F238E27FC236}">
              <a16:creationId xmlns:a16="http://schemas.microsoft.com/office/drawing/2014/main" id="{00000000-0008-0000-0800-00009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2" name="Text Box 148">
          <a:extLst>
            <a:ext uri="{FF2B5EF4-FFF2-40B4-BE49-F238E27FC236}">
              <a16:creationId xmlns:a16="http://schemas.microsoft.com/office/drawing/2014/main" id="{00000000-0008-0000-0800-00009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3" name="Text Box 149">
          <a:extLst>
            <a:ext uri="{FF2B5EF4-FFF2-40B4-BE49-F238E27FC236}">
              <a16:creationId xmlns:a16="http://schemas.microsoft.com/office/drawing/2014/main" id="{00000000-0008-0000-0800-00009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4" name="Text Box 150">
          <a:extLst>
            <a:ext uri="{FF2B5EF4-FFF2-40B4-BE49-F238E27FC236}">
              <a16:creationId xmlns:a16="http://schemas.microsoft.com/office/drawing/2014/main" id="{00000000-0008-0000-0800-0000A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5" name="Text Box 151">
          <a:extLst>
            <a:ext uri="{FF2B5EF4-FFF2-40B4-BE49-F238E27FC236}">
              <a16:creationId xmlns:a16="http://schemas.microsoft.com/office/drawing/2014/main" id="{00000000-0008-0000-0800-0000A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6" name="Text Box 152">
          <a:extLst>
            <a:ext uri="{FF2B5EF4-FFF2-40B4-BE49-F238E27FC236}">
              <a16:creationId xmlns:a16="http://schemas.microsoft.com/office/drawing/2014/main" id="{00000000-0008-0000-0800-0000A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7" name="Text Box 153">
          <a:extLst>
            <a:ext uri="{FF2B5EF4-FFF2-40B4-BE49-F238E27FC236}">
              <a16:creationId xmlns:a16="http://schemas.microsoft.com/office/drawing/2014/main" id="{00000000-0008-0000-0800-0000A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8" name="Text Box 154">
          <a:extLst>
            <a:ext uri="{FF2B5EF4-FFF2-40B4-BE49-F238E27FC236}">
              <a16:creationId xmlns:a16="http://schemas.microsoft.com/office/drawing/2014/main" id="{00000000-0008-0000-0800-0000A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9" name="Text Box 155">
          <a:extLst>
            <a:ext uri="{FF2B5EF4-FFF2-40B4-BE49-F238E27FC236}">
              <a16:creationId xmlns:a16="http://schemas.microsoft.com/office/drawing/2014/main" id="{00000000-0008-0000-0800-0000A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0" name="Text Box 156">
          <a:extLst>
            <a:ext uri="{FF2B5EF4-FFF2-40B4-BE49-F238E27FC236}">
              <a16:creationId xmlns:a16="http://schemas.microsoft.com/office/drawing/2014/main" id="{00000000-0008-0000-0800-0000A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1" name="Text Box 157">
          <a:extLst>
            <a:ext uri="{FF2B5EF4-FFF2-40B4-BE49-F238E27FC236}">
              <a16:creationId xmlns:a16="http://schemas.microsoft.com/office/drawing/2014/main" id="{00000000-0008-0000-0800-0000A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2" name="Text Box 158">
          <a:extLst>
            <a:ext uri="{FF2B5EF4-FFF2-40B4-BE49-F238E27FC236}">
              <a16:creationId xmlns:a16="http://schemas.microsoft.com/office/drawing/2014/main" id="{00000000-0008-0000-0800-0000A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3" name="Text Box 159">
          <a:extLst>
            <a:ext uri="{FF2B5EF4-FFF2-40B4-BE49-F238E27FC236}">
              <a16:creationId xmlns:a16="http://schemas.microsoft.com/office/drawing/2014/main" id="{00000000-0008-0000-0800-0000A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4" name="Text Box 160">
          <a:extLst>
            <a:ext uri="{FF2B5EF4-FFF2-40B4-BE49-F238E27FC236}">
              <a16:creationId xmlns:a16="http://schemas.microsoft.com/office/drawing/2014/main" id="{00000000-0008-0000-0800-0000A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5" name="Text Box 161">
          <a:extLst>
            <a:ext uri="{FF2B5EF4-FFF2-40B4-BE49-F238E27FC236}">
              <a16:creationId xmlns:a16="http://schemas.microsoft.com/office/drawing/2014/main" id="{00000000-0008-0000-0800-0000A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6" name="Text Box 162">
          <a:extLst>
            <a:ext uri="{FF2B5EF4-FFF2-40B4-BE49-F238E27FC236}">
              <a16:creationId xmlns:a16="http://schemas.microsoft.com/office/drawing/2014/main" id="{00000000-0008-0000-0800-0000A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7" name="Text Box 163">
          <a:extLst>
            <a:ext uri="{FF2B5EF4-FFF2-40B4-BE49-F238E27FC236}">
              <a16:creationId xmlns:a16="http://schemas.microsoft.com/office/drawing/2014/main" id="{00000000-0008-0000-0800-0000A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8" name="Text Box 164">
          <a:extLst>
            <a:ext uri="{FF2B5EF4-FFF2-40B4-BE49-F238E27FC236}">
              <a16:creationId xmlns:a16="http://schemas.microsoft.com/office/drawing/2014/main" id="{00000000-0008-0000-0800-0000A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9" name="Text Box 165">
          <a:extLst>
            <a:ext uri="{FF2B5EF4-FFF2-40B4-BE49-F238E27FC236}">
              <a16:creationId xmlns:a16="http://schemas.microsoft.com/office/drawing/2014/main" id="{00000000-0008-0000-0800-0000A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0" name="Text Box 166">
          <a:extLst>
            <a:ext uri="{FF2B5EF4-FFF2-40B4-BE49-F238E27FC236}">
              <a16:creationId xmlns:a16="http://schemas.microsoft.com/office/drawing/2014/main" id="{00000000-0008-0000-0800-0000B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1" name="Text Box 167">
          <a:extLst>
            <a:ext uri="{FF2B5EF4-FFF2-40B4-BE49-F238E27FC236}">
              <a16:creationId xmlns:a16="http://schemas.microsoft.com/office/drawing/2014/main" id="{00000000-0008-0000-0800-0000B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2" name="Text Box 168">
          <a:extLst>
            <a:ext uri="{FF2B5EF4-FFF2-40B4-BE49-F238E27FC236}">
              <a16:creationId xmlns:a16="http://schemas.microsoft.com/office/drawing/2014/main" id="{00000000-0008-0000-0800-0000B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3" name="Text Box 169">
          <a:extLst>
            <a:ext uri="{FF2B5EF4-FFF2-40B4-BE49-F238E27FC236}">
              <a16:creationId xmlns:a16="http://schemas.microsoft.com/office/drawing/2014/main" id="{00000000-0008-0000-0800-0000B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4" name="Text Box 170">
          <a:extLst>
            <a:ext uri="{FF2B5EF4-FFF2-40B4-BE49-F238E27FC236}">
              <a16:creationId xmlns:a16="http://schemas.microsoft.com/office/drawing/2014/main" id="{00000000-0008-0000-0800-0000B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5" name="Text Box 171">
          <a:extLst>
            <a:ext uri="{FF2B5EF4-FFF2-40B4-BE49-F238E27FC236}">
              <a16:creationId xmlns:a16="http://schemas.microsoft.com/office/drawing/2014/main" id="{00000000-0008-0000-0800-0000B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6" name="Text Box 172">
          <a:extLst>
            <a:ext uri="{FF2B5EF4-FFF2-40B4-BE49-F238E27FC236}">
              <a16:creationId xmlns:a16="http://schemas.microsoft.com/office/drawing/2014/main" id="{00000000-0008-0000-0800-0000B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7" name="Text Box 173">
          <a:extLst>
            <a:ext uri="{FF2B5EF4-FFF2-40B4-BE49-F238E27FC236}">
              <a16:creationId xmlns:a16="http://schemas.microsoft.com/office/drawing/2014/main" id="{00000000-0008-0000-0800-0000B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8" name="Text Box 174">
          <a:extLst>
            <a:ext uri="{FF2B5EF4-FFF2-40B4-BE49-F238E27FC236}">
              <a16:creationId xmlns:a16="http://schemas.microsoft.com/office/drawing/2014/main" id="{00000000-0008-0000-0800-0000B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9" name="Text Box 175">
          <a:extLst>
            <a:ext uri="{FF2B5EF4-FFF2-40B4-BE49-F238E27FC236}">
              <a16:creationId xmlns:a16="http://schemas.microsoft.com/office/drawing/2014/main" id="{00000000-0008-0000-0800-0000B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0" name="Text Box 176">
          <a:extLst>
            <a:ext uri="{FF2B5EF4-FFF2-40B4-BE49-F238E27FC236}">
              <a16:creationId xmlns:a16="http://schemas.microsoft.com/office/drawing/2014/main" id="{00000000-0008-0000-0800-0000B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1" name="Text Box 177">
          <a:extLst>
            <a:ext uri="{FF2B5EF4-FFF2-40B4-BE49-F238E27FC236}">
              <a16:creationId xmlns:a16="http://schemas.microsoft.com/office/drawing/2014/main" id="{00000000-0008-0000-0800-0000B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2" name="Text Box 178">
          <a:extLst>
            <a:ext uri="{FF2B5EF4-FFF2-40B4-BE49-F238E27FC236}">
              <a16:creationId xmlns:a16="http://schemas.microsoft.com/office/drawing/2014/main" id="{00000000-0008-0000-0800-0000B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3" name="Text Box 179">
          <a:extLst>
            <a:ext uri="{FF2B5EF4-FFF2-40B4-BE49-F238E27FC236}">
              <a16:creationId xmlns:a16="http://schemas.microsoft.com/office/drawing/2014/main" id="{00000000-0008-0000-0800-0000B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4" name="Text Box 180">
          <a:extLst>
            <a:ext uri="{FF2B5EF4-FFF2-40B4-BE49-F238E27FC236}">
              <a16:creationId xmlns:a16="http://schemas.microsoft.com/office/drawing/2014/main" id="{00000000-0008-0000-0800-0000B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5" name="Text Box 181">
          <a:extLst>
            <a:ext uri="{FF2B5EF4-FFF2-40B4-BE49-F238E27FC236}">
              <a16:creationId xmlns:a16="http://schemas.microsoft.com/office/drawing/2014/main" id="{00000000-0008-0000-0800-0000B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6" name="Text Box 182">
          <a:extLst>
            <a:ext uri="{FF2B5EF4-FFF2-40B4-BE49-F238E27FC236}">
              <a16:creationId xmlns:a16="http://schemas.microsoft.com/office/drawing/2014/main" id="{00000000-0008-0000-0800-0000C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7" name="Text Box 183">
          <a:extLst>
            <a:ext uri="{FF2B5EF4-FFF2-40B4-BE49-F238E27FC236}">
              <a16:creationId xmlns:a16="http://schemas.microsoft.com/office/drawing/2014/main" id="{00000000-0008-0000-0800-0000C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8" name="Text Box 184">
          <a:extLst>
            <a:ext uri="{FF2B5EF4-FFF2-40B4-BE49-F238E27FC236}">
              <a16:creationId xmlns:a16="http://schemas.microsoft.com/office/drawing/2014/main" id="{00000000-0008-0000-0800-0000C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9" name="Text Box 185">
          <a:extLst>
            <a:ext uri="{FF2B5EF4-FFF2-40B4-BE49-F238E27FC236}">
              <a16:creationId xmlns:a16="http://schemas.microsoft.com/office/drawing/2014/main" id="{00000000-0008-0000-0800-0000C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0" name="Text Box 186">
          <a:extLst>
            <a:ext uri="{FF2B5EF4-FFF2-40B4-BE49-F238E27FC236}">
              <a16:creationId xmlns:a16="http://schemas.microsoft.com/office/drawing/2014/main" id="{00000000-0008-0000-0800-0000C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1" name="Text Box 187">
          <a:extLst>
            <a:ext uri="{FF2B5EF4-FFF2-40B4-BE49-F238E27FC236}">
              <a16:creationId xmlns:a16="http://schemas.microsoft.com/office/drawing/2014/main" id="{00000000-0008-0000-0800-0000C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2" name="Text Box 188">
          <a:extLst>
            <a:ext uri="{FF2B5EF4-FFF2-40B4-BE49-F238E27FC236}">
              <a16:creationId xmlns:a16="http://schemas.microsoft.com/office/drawing/2014/main" id="{00000000-0008-0000-0800-0000C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3" name="Text Box 189">
          <a:extLst>
            <a:ext uri="{FF2B5EF4-FFF2-40B4-BE49-F238E27FC236}">
              <a16:creationId xmlns:a16="http://schemas.microsoft.com/office/drawing/2014/main" id="{00000000-0008-0000-0800-0000C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4" name="Text Box 190">
          <a:extLst>
            <a:ext uri="{FF2B5EF4-FFF2-40B4-BE49-F238E27FC236}">
              <a16:creationId xmlns:a16="http://schemas.microsoft.com/office/drawing/2014/main" id="{00000000-0008-0000-0800-0000C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5" name="Text Box 191">
          <a:extLst>
            <a:ext uri="{FF2B5EF4-FFF2-40B4-BE49-F238E27FC236}">
              <a16:creationId xmlns:a16="http://schemas.microsoft.com/office/drawing/2014/main" id="{00000000-0008-0000-0800-0000C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6" name="Text Box 192">
          <a:extLst>
            <a:ext uri="{FF2B5EF4-FFF2-40B4-BE49-F238E27FC236}">
              <a16:creationId xmlns:a16="http://schemas.microsoft.com/office/drawing/2014/main" id="{00000000-0008-0000-0800-0000C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7" name="Text Box 193">
          <a:extLst>
            <a:ext uri="{FF2B5EF4-FFF2-40B4-BE49-F238E27FC236}">
              <a16:creationId xmlns:a16="http://schemas.microsoft.com/office/drawing/2014/main" id="{00000000-0008-0000-0800-0000C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8" name="Text Box 194">
          <a:extLst>
            <a:ext uri="{FF2B5EF4-FFF2-40B4-BE49-F238E27FC236}">
              <a16:creationId xmlns:a16="http://schemas.microsoft.com/office/drawing/2014/main" id="{00000000-0008-0000-0800-0000C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9" name="Text Box 195">
          <a:extLst>
            <a:ext uri="{FF2B5EF4-FFF2-40B4-BE49-F238E27FC236}">
              <a16:creationId xmlns:a16="http://schemas.microsoft.com/office/drawing/2014/main" id="{00000000-0008-0000-0800-0000C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0" name="Text Box 196">
          <a:extLst>
            <a:ext uri="{FF2B5EF4-FFF2-40B4-BE49-F238E27FC236}">
              <a16:creationId xmlns:a16="http://schemas.microsoft.com/office/drawing/2014/main" id="{00000000-0008-0000-0800-0000C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1" name="Text Box 197">
          <a:extLst>
            <a:ext uri="{FF2B5EF4-FFF2-40B4-BE49-F238E27FC236}">
              <a16:creationId xmlns:a16="http://schemas.microsoft.com/office/drawing/2014/main" id="{00000000-0008-0000-0800-0000C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2" name="Text Box 198">
          <a:extLst>
            <a:ext uri="{FF2B5EF4-FFF2-40B4-BE49-F238E27FC236}">
              <a16:creationId xmlns:a16="http://schemas.microsoft.com/office/drawing/2014/main" id="{00000000-0008-0000-0800-0000D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3" name="Text Box 199">
          <a:extLst>
            <a:ext uri="{FF2B5EF4-FFF2-40B4-BE49-F238E27FC236}">
              <a16:creationId xmlns:a16="http://schemas.microsoft.com/office/drawing/2014/main" id="{00000000-0008-0000-0800-0000D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4" name="Text Box 200">
          <a:extLst>
            <a:ext uri="{FF2B5EF4-FFF2-40B4-BE49-F238E27FC236}">
              <a16:creationId xmlns:a16="http://schemas.microsoft.com/office/drawing/2014/main" id="{00000000-0008-0000-0800-0000D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5" name="Text Box 201">
          <a:extLst>
            <a:ext uri="{FF2B5EF4-FFF2-40B4-BE49-F238E27FC236}">
              <a16:creationId xmlns:a16="http://schemas.microsoft.com/office/drawing/2014/main" id="{00000000-0008-0000-0800-0000D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6" name="Text Box 202">
          <a:extLst>
            <a:ext uri="{FF2B5EF4-FFF2-40B4-BE49-F238E27FC236}">
              <a16:creationId xmlns:a16="http://schemas.microsoft.com/office/drawing/2014/main" id="{00000000-0008-0000-0800-0000D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7" name="Text Box 203">
          <a:extLst>
            <a:ext uri="{FF2B5EF4-FFF2-40B4-BE49-F238E27FC236}">
              <a16:creationId xmlns:a16="http://schemas.microsoft.com/office/drawing/2014/main" id="{00000000-0008-0000-0800-0000D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8" name="Text Box 204">
          <a:extLst>
            <a:ext uri="{FF2B5EF4-FFF2-40B4-BE49-F238E27FC236}">
              <a16:creationId xmlns:a16="http://schemas.microsoft.com/office/drawing/2014/main" id="{00000000-0008-0000-0800-0000D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9" name="Text Box 205">
          <a:extLst>
            <a:ext uri="{FF2B5EF4-FFF2-40B4-BE49-F238E27FC236}">
              <a16:creationId xmlns:a16="http://schemas.microsoft.com/office/drawing/2014/main" id="{00000000-0008-0000-0800-0000D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0" name="Text Box 206">
          <a:extLst>
            <a:ext uri="{FF2B5EF4-FFF2-40B4-BE49-F238E27FC236}">
              <a16:creationId xmlns:a16="http://schemas.microsoft.com/office/drawing/2014/main" id="{00000000-0008-0000-0800-0000D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1" name="Text Box 207">
          <a:extLst>
            <a:ext uri="{FF2B5EF4-FFF2-40B4-BE49-F238E27FC236}">
              <a16:creationId xmlns:a16="http://schemas.microsoft.com/office/drawing/2014/main" id="{00000000-0008-0000-0800-0000D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2" name="Text Box 208">
          <a:extLst>
            <a:ext uri="{FF2B5EF4-FFF2-40B4-BE49-F238E27FC236}">
              <a16:creationId xmlns:a16="http://schemas.microsoft.com/office/drawing/2014/main" id="{00000000-0008-0000-0800-0000D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3" name="Text Box 209">
          <a:extLst>
            <a:ext uri="{FF2B5EF4-FFF2-40B4-BE49-F238E27FC236}">
              <a16:creationId xmlns:a16="http://schemas.microsoft.com/office/drawing/2014/main" id="{00000000-0008-0000-0800-0000D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4" name="Text Box 210">
          <a:extLst>
            <a:ext uri="{FF2B5EF4-FFF2-40B4-BE49-F238E27FC236}">
              <a16:creationId xmlns:a16="http://schemas.microsoft.com/office/drawing/2014/main" id="{00000000-0008-0000-0800-0000D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5" name="Text Box 211">
          <a:extLst>
            <a:ext uri="{FF2B5EF4-FFF2-40B4-BE49-F238E27FC236}">
              <a16:creationId xmlns:a16="http://schemas.microsoft.com/office/drawing/2014/main" id="{00000000-0008-0000-0800-0000D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6" name="Text Box 212">
          <a:extLst>
            <a:ext uri="{FF2B5EF4-FFF2-40B4-BE49-F238E27FC236}">
              <a16:creationId xmlns:a16="http://schemas.microsoft.com/office/drawing/2014/main" id="{00000000-0008-0000-0800-0000D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7" name="Text Box 213">
          <a:extLst>
            <a:ext uri="{FF2B5EF4-FFF2-40B4-BE49-F238E27FC236}">
              <a16:creationId xmlns:a16="http://schemas.microsoft.com/office/drawing/2014/main" id="{00000000-0008-0000-0800-0000D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8" name="Text Box 214">
          <a:extLst>
            <a:ext uri="{FF2B5EF4-FFF2-40B4-BE49-F238E27FC236}">
              <a16:creationId xmlns:a16="http://schemas.microsoft.com/office/drawing/2014/main" id="{00000000-0008-0000-0800-0000E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9" name="Text Box 215">
          <a:extLst>
            <a:ext uri="{FF2B5EF4-FFF2-40B4-BE49-F238E27FC236}">
              <a16:creationId xmlns:a16="http://schemas.microsoft.com/office/drawing/2014/main" id="{00000000-0008-0000-0800-0000E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0" name="Text Box 216">
          <a:extLst>
            <a:ext uri="{FF2B5EF4-FFF2-40B4-BE49-F238E27FC236}">
              <a16:creationId xmlns:a16="http://schemas.microsoft.com/office/drawing/2014/main" id="{00000000-0008-0000-0800-0000E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1" name="Text Box 217">
          <a:extLst>
            <a:ext uri="{FF2B5EF4-FFF2-40B4-BE49-F238E27FC236}">
              <a16:creationId xmlns:a16="http://schemas.microsoft.com/office/drawing/2014/main" id="{00000000-0008-0000-0800-0000E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2" name="Text Box 218">
          <a:extLst>
            <a:ext uri="{FF2B5EF4-FFF2-40B4-BE49-F238E27FC236}">
              <a16:creationId xmlns:a16="http://schemas.microsoft.com/office/drawing/2014/main" id="{00000000-0008-0000-0800-0000E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3" name="Text Box 219">
          <a:extLst>
            <a:ext uri="{FF2B5EF4-FFF2-40B4-BE49-F238E27FC236}">
              <a16:creationId xmlns:a16="http://schemas.microsoft.com/office/drawing/2014/main" id="{00000000-0008-0000-0800-0000E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4" name="Text Box 220">
          <a:extLst>
            <a:ext uri="{FF2B5EF4-FFF2-40B4-BE49-F238E27FC236}">
              <a16:creationId xmlns:a16="http://schemas.microsoft.com/office/drawing/2014/main" id="{00000000-0008-0000-0800-0000E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5" name="Text Box 221">
          <a:extLst>
            <a:ext uri="{FF2B5EF4-FFF2-40B4-BE49-F238E27FC236}">
              <a16:creationId xmlns:a16="http://schemas.microsoft.com/office/drawing/2014/main" id="{00000000-0008-0000-0800-0000E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6" name="Text Box 222">
          <a:extLst>
            <a:ext uri="{FF2B5EF4-FFF2-40B4-BE49-F238E27FC236}">
              <a16:creationId xmlns:a16="http://schemas.microsoft.com/office/drawing/2014/main" id="{00000000-0008-0000-0800-0000E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7" name="Text Box 223">
          <a:extLst>
            <a:ext uri="{FF2B5EF4-FFF2-40B4-BE49-F238E27FC236}">
              <a16:creationId xmlns:a16="http://schemas.microsoft.com/office/drawing/2014/main" id="{00000000-0008-0000-0800-0000E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8" name="Text Box 224">
          <a:extLst>
            <a:ext uri="{FF2B5EF4-FFF2-40B4-BE49-F238E27FC236}">
              <a16:creationId xmlns:a16="http://schemas.microsoft.com/office/drawing/2014/main" id="{00000000-0008-0000-0800-0000E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9" name="Text Box 225">
          <a:extLst>
            <a:ext uri="{FF2B5EF4-FFF2-40B4-BE49-F238E27FC236}">
              <a16:creationId xmlns:a16="http://schemas.microsoft.com/office/drawing/2014/main" id="{00000000-0008-0000-0800-0000E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80" name="Text Box 226">
          <a:extLst>
            <a:ext uri="{FF2B5EF4-FFF2-40B4-BE49-F238E27FC236}">
              <a16:creationId xmlns:a16="http://schemas.microsoft.com/office/drawing/2014/main" id="{00000000-0008-0000-0800-0000E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1" name="Text Box 227">
          <a:extLst>
            <a:ext uri="{FF2B5EF4-FFF2-40B4-BE49-F238E27FC236}">
              <a16:creationId xmlns:a16="http://schemas.microsoft.com/office/drawing/2014/main" id="{00000000-0008-0000-0800-0000E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2" name="Text Box 228">
          <a:extLst>
            <a:ext uri="{FF2B5EF4-FFF2-40B4-BE49-F238E27FC236}">
              <a16:creationId xmlns:a16="http://schemas.microsoft.com/office/drawing/2014/main" id="{00000000-0008-0000-0800-0000E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3" name="Text Box 229">
          <a:extLst>
            <a:ext uri="{FF2B5EF4-FFF2-40B4-BE49-F238E27FC236}">
              <a16:creationId xmlns:a16="http://schemas.microsoft.com/office/drawing/2014/main" id="{00000000-0008-0000-0800-0000E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4" name="Text Box 230">
          <a:extLst>
            <a:ext uri="{FF2B5EF4-FFF2-40B4-BE49-F238E27FC236}">
              <a16:creationId xmlns:a16="http://schemas.microsoft.com/office/drawing/2014/main" id="{00000000-0008-0000-0800-0000F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5" name="Text Box 231">
          <a:extLst>
            <a:ext uri="{FF2B5EF4-FFF2-40B4-BE49-F238E27FC236}">
              <a16:creationId xmlns:a16="http://schemas.microsoft.com/office/drawing/2014/main" id="{00000000-0008-0000-0800-0000F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6" name="Text Box 232">
          <a:extLst>
            <a:ext uri="{FF2B5EF4-FFF2-40B4-BE49-F238E27FC236}">
              <a16:creationId xmlns:a16="http://schemas.microsoft.com/office/drawing/2014/main" id="{00000000-0008-0000-0800-0000F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7" name="Text Box 233">
          <a:extLst>
            <a:ext uri="{FF2B5EF4-FFF2-40B4-BE49-F238E27FC236}">
              <a16:creationId xmlns:a16="http://schemas.microsoft.com/office/drawing/2014/main" id="{00000000-0008-0000-0800-0000F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8" name="Text Box 234">
          <a:extLst>
            <a:ext uri="{FF2B5EF4-FFF2-40B4-BE49-F238E27FC236}">
              <a16:creationId xmlns:a16="http://schemas.microsoft.com/office/drawing/2014/main" id="{00000000-0008-0000-0800-0000F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9" name="Text Box 235">
          <a:extLst>
            <a:ext uri="{FF2B5EF4-FFF2-40B4-BE49-F238E27FC236}">
              <a16:creationId xmlns:a16="http://schemas.microsoft.com/office/drawing/2014/main" id="{00000000-0008-0000-0800-0000F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0" name="Text Box 236">
          <a:extLst>
            <a:ext uri="{FF2B5EF4-FFF2-40B4-BE49-F238E27FC236}">
              <a16:creationId xmlns:a16="http://schemas.microsoft.com/office/drawing/2014/main" id="{00000000-0008-0000-0800-0000F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1" name="Text Box 237">
          <a:extLst>
            <a:ext uri="{FF2B5EF4-FFF2-40B4-BE49-F238E27FC236}">
              <a16:creationId xmlns:a16="http://schemas.microsoft.com/office/drawing/2014/main" id="{00000000-0008-0000-0800-0000F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2" name="Text Box 238">
          <a:extLst>
            <a:ext uri="{FF2B5EF4-FFF2-40B4-BE49-F238E27FC236}">
              <a16:creationId xmlns:a16="http://schemas.microsoft.com/office/drawing/2014/main" id="{00000000-0008-0000-0800-0000F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3" name="Text Box 239">
          <a:extLst>
            <a:ext uri="{FF2B5EF4-FFF2-40B4-BE49-F238E27FC236}">
              <a16:creationId xmlns:a16="http://schemas.microsoft.com/office/drawing/2014/main" id="{00000000-0008-0000-0800-0000F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4" name="Text Box 240">
          <a:extLst>
            <a:ext uri="{FF2B5EF4-FFF2-40B4-BE49-F238E27FC236}">
              <a16:creationId xmlns:a16="http://schemas.microsoft.com/office/drawing/2014/main" id="{00000000-0008-0000-0800-0000F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5" name="Text Box 241">
          <a:extLst>
            <a:ext uri="{FF2B5EF4-FFF2-40B4-BE49-F238E27FC236}">
              <a16:creationId xmlns:a16="http://schemas.microsoft.com/office/drawing/2014/main" id="{00000000-0008-0000-0800-0000F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6" name="Text Box 242">
          <a:extLst>
            <a:ext uri="{FF2B5EF4-FFF2-40B4-BE49-F238E27FC236}">
              <a16:creationId xmlns:a16="http://schemas.microsoft.com/office/drawing/2014/main" id="{00000000-0008-0000-0800-0000F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7" name="Text Box 243">
          <a:extLst>
            <a:ext uri="{FF2B5EF4-FFF2-40B4-BE49-F238E27FC236}">
              <a16:creationId xmlns:a16="http://schemas.microsoft.com/office/drawing/2014/main" id="{00000000-0008-0000-0800-0000F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8" name="Text Box 244">
          <a:extLst>
            <a:ext uri="{FF2B5EF4-FFF2-40B4-BE49-F238E27FC236}">
              <a16:creationId xmlns:a16="http://schemas.microsoft.com/office/drawing/2014/main" id="{00000000-0008-0000-0800-0000F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9" name="Text Box 245">
          <a:extLst>
            <a:ext uri="{FF2B5EF4-FFF2-40B4-BE49-F238E27FC236}">
              <a16:creationId xmlns:a16="http://schemas.microsoft.com/office/drawing/2014/main" id="{00000000-0008-0000-0800-0000F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0" name="Text Box 246">
          <a:extLst>
            <a:ext uri="{FF2B5EF4-FFF2-40B4-BE49-F238E27FC236}">
              <a16:creationId xmlns:a16="http://schemas.microsoft.com/office/drawing/2014/main" id="{00000000-0008-0000-0800-00000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1" name="Text Box 247">
          <a:extLst>
            <a:ext uri="{FF2B5EF4-FFF2-40B4-BE49-F238E27FC236}">
              <a16:creationId xmlns:a16="http://schemas.microsoft.com/office/drawing/2014/main" id="{00000000-0008-0000-0800-00000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2" name="Text Box 248">
          <a:extLst>
            <a:ext uri="{FF2B5EF4-FFF2-40B4-BE49-F238E27FC236}">
              <a16:creationId xmlns:a16="http://schemas.microsoft.com/office/drawing/2014/main" id="{00000000-0008-0000-0800-00000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3" name="Text Box 249">
          <a:extLst>
            <a:ext uri="{FF2B5EF4-FFF2-40B4-BE49-F238E27FC236}">
              <a16:creationId xmlns:a16="http://schemas.microsoft.com/office/drawing/2014/main" id="{00000000-0008-0000-0800-00000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4" name="Text Box 250">
          <a:extLst>
            <a:ext uri="{FF2B5EF4-FFF2-40B4-BE49-F238E27FC236}">
              <a16:creationId xmlns:a16="http://schemas.microsoft.com/office/drawing/2014/main" id="{00000000-0008-0000-0800-00000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5" name="Text Box 251">
          <a:extLst>
            <a:ext uri="{FF2B5EF4-FFF2-40B4-BE49-F238E27FC236}">
              <a16:creationId xmlns:a16="http://schemas.microsoft.com/office/drawing/2014/main" id="{00000000-0008-0000-0800-00000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6" name="Text Box 252">
          <a:extLst>
            <a:ext uri="{FF2B5EF4-FFF2-40B4-BE49-F238E27FC236}">
              <a16:creationId xmlns:a16="http://schemas.microsoft.com/office/drawing/2014/main" id="{00000000-0008-0000-0800-00000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7" name="Text Box 253">
          <a:extLst>
            <a:ext uri="{FF2B5EF4-FFF2-40B4-BE49-F238E27FC236}">
              <a16:creationId xmlns:a16="http://schemas.microsoft.com/office/drawing/2014/main" id="{00000000-0008-0000-0800-00000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8" name="Text Box 254">
          <a:extLst>
            <a:ext uri="{FF2B5EF4-FFF2-40B4-BE49-F238E27FC236}">
              <a16:creationId xmlns:a16="http://schemas.microsoft.com/office/drawing/2014/main" id="{00000000-0008-0000-0800-00000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9" name="Text Box 255">
          <a:extLst>
            <a:ext uri="{FF2B5EF4-FFF2-40B4-BE49-F238E27FC236}">
              <a16:creationId xmlns:a16="http://schemas.microsoft.com/office/drawing/2014/main" id="{00000000-0008-0000-0800-00000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0" name="Text Box 256">
          <a:extLst>
            <a:ext uri="{FF2B5EF4-FFF2-40B4-BE49-F238E27FC236}">
              <a16:creationId xmlns:a16="http://schemas.microsoft.com/office/drawing/2014/main" id="{00000000-0008-0000-0800-00000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1" name="Text Box 257">
          <a:extLst>
            <a:ext uri="{FF2B5EF4-FFF2-40B4-BE49-F238E27FC236}">
              <a16:creationId xmlns:a16="http://schemas.microsoft.com/office/drawing/2014/main" id="{00000000-0008-0000-0800-00000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2" name="Text Box 258">
          <a:extLst>
            <a:ext uri="{FF2B5EF4-FFF2-40B4-BE49-F238E27FC236}">
              <a16:creationId xmlns:a16="http://schemas.microsoft.com/office/drawing/2014/main" id="{00000000-0008-0000-0800-00000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3" name="Text Box 259">
          <a:extLst>
            <a:ext uri="{FF2B5EF4-FFF2-40B4-BE49-F238E27FC236}">
              <a16:creationId xmlns:a16="http://schemas.microsoft.com/office/drawing/2014/main" id="{00000000-0008-0000-0800-00000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4" name="Text Box 260">
          <a:extLst>
            <a:ext uri="{FF2B5EF4-FFF2-40B4-BE49-F238E27FC236}">
              <a16:creationId xmlns:a16="http://schemas.microsoft.com/office/drawing/2014/main" id="{00000000-0008-0000-0800-00000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5" name="Text Box 261">
          <a:extLst>
            <a:ext uri="{FF2B5EF4-FFF2-40B4-BE49-F238E27FC236}">
              <a16:creationId xmlns:a16="http://schemas.microsoft.com/office/drawing/2014/main" id="{00000000-0008-0000-0800-00000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6" name="Text Box 262">
          <a:extLst>
            <a:ext uri="{FF2B5EF4-FFF2-40B4-BE49-F238E27FC236}">
              <a16:creationId xmlns:a16="http://schemas.microsoft.com/office/drawing/2014/main" id="{00000000-0008-0000-0800-00001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7" name="Text Box 263">
          <a:extLst>
            <a:ext uri="{FF2B5EF4-FFF2-40B4-BE49-F238E27FC236}">
              <a16:creationId xmlns:a16="http://schemas.microsoft.com/office/drawing/2014/main" id="{00000000-0008-0000-0800-00001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8" name="Text Box 264">
          <a:extLst>
            <a:ext uri="{FF2B5EF4-FFF2-40B4-BE49-F238E27FC236}">
              <a16:creationId xmlns:a16="http://schemas.microsoft.com/office/drawing/2014/main" id="{00000000-0008-0000-0800-00001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9" name="Text Box 265">
          <a:extLst>
            <a:ext uri="{FF2B5EF4-FFF2-40B4-BE49-F238E27FC236}">
              <a16:creationId xmlns:a16="http://schemas.microsoft.com/office/drawing/2014/main" id="{00000000-0008-0000-0800-00001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0" name="Text Box 266">
          <a:extLst>
            <a:ext uri="{FF2B5EF4-FFF2-40B4-BE49-F238E27FC236}">
              <a16:creationId xmlns:a16="http://schemas.microsoft.com/office/drawing/2014/main" id="{00000000-0008-0000-0800-00001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1" name="Text Box 267">
          <a:extLst>
            <a:ext uri="{FF2B5EF4-FFF2-40B4-BE49-F238E27FC236}">
              <a16:creationId xmlns:a16="http://schemas.microsoft.com/office/drawing/2014/main" id="{00000000-0008-0000-0800-00001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2" name="Text Box 268">
          <a:extLst>
            <a:ext uri="{FF2B5EF4-FFF2-40B4-BE49-F238E27FC236}">
              <a16:creationId xmlns:a16="http://schemas.microsoft.com/office/drawing/2014/main" id="{00000000-0008-0000-0800-00001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3" name="Text Box 269">
          <a:extLst>
            <a:ext uri="{FF2B5EF4-FFF2-40B4-BE49-F238E27FC236}">
              <a16:creationId xmlns:a16="http://schemas.microsoft.com/office/drawing/2014/main" id="{00000000-0008-0000-0800-00001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4" name="Text Box 270">
          <a:extLst>
            <a:ext uri="{FF2B5EF4-FFF2-40B4-BE49-F238E27FC236}">
              <a16:creationId xmlns:a16="http://schemas.microsoft.com/office/drawing/2014/main" id="{00000000-0008-0000-0800-00001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5" name="Text Box 271">
          <a:extLst>
            <a:ext uri="{FF2B5EF4-FFF2-40B4-BE49-F238E27FC236}">
              <a16:creationId xmlns:a16="http://schemas.microsoft.com/office/drawing/2014/main" id="{00000000-0008-0000-0800-00001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6" name="Text Box 272">
          <a:extLst>
            <a:ext uri="{FF2B5EF4-FFF2-40B4-BE49-F238E27FC236}">
              <a16:creationId xmlns:a16="http://schemas.microsoft.com/office/drawing/2014/main" id="{00000000-0008-0000-0800-00001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7" name="Text Box 273">
          <a:extLst>
            <a:ext uri="{FF2B5EF4-FFF2-40B4-BE49-F238E27FC236}">
              <a16:creationId xmlns:a16="http://schemas.microsoft.com/office/drawing/2014/main" id="{00000000-0008-0000-0800-00001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8" name="Text Box 274">
          <a:extLst>
            <a:ext uri="{FF2B5EF4-FFF2-40B4-BE49-F238E27FC236}">
              <a16:creationId xmlns:a16="http://schemas.microsoft.com/office/drawing/2014/main" id="{00000000-0008-0000-0800-00001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9" name="Text Box 275">
          <a:extLst>
            <a:ext uri="{FF2B5EF4-FFF2-40B4-BE49-F238E27FC236}">
              <a16:creationId xmlns:a16="http://schemas.microsoft.com/office/drawing/2014/main" id="{00000000-0008-0000-0800-00001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0" name="Text Box 276">
          <a:extLst>
            <a:ext uri="{FF2B5EF4-FFF2-40B4-BE49-F238E27FC236}">
              <a16:creationId xmlns:a16="http://schemas.microsoft.com/office/drawing/2014/main" id="{00000000-0008-0000-0800-00001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1" name="Text Box 277">
          <a:extLst>
            <a:ext uri="{FF2B5EF4-FFF2-40B4-BE49-F238E27FC236}">
              <a16:creationId xmlns:a16="http://schemas.microsoft.com/office/drawing/2014/main" id="{00000000-0008-0000-0800-00001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2" name="Text Box 278">
          <a:extLst>
            <a:ext uri="{FF2B5EF4-FFF2-40B4-BE49-F238E27FC236}">
              <a16:creationId xmlns:a16="http://schemas.microsoft.com/office/drawing/2014/main" id="{00000000-0008-0000-0800-00002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3" name="Text Box 279">
          <a:extLst>
            <a:ext uri="{FF2B5EF4-FFF2-40B4-BE49-F238E27FC236}">
              <a16:creationId xmlns:a16="http://schemas.microsoft.com/office/drawing/2014/main" id="{00000000-0008-0000-0800-00002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4" name="Text Box 280">
          <a:extLst>
            <a:ext uri="{FF2B5EF4-FFF2-40B4-BE49-F238E27FC236}">
              <a16:creationId xmlns:a16="http://schemas.microsoft.com/office/drawing/2014/main" id="{00000000-0008-0000-0800-00002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5" name="Text Box 281">
          <a:extLst>
            <a:ext uri="{FF2B5EF4-FFF2-40B4-BE49-F238E27FC236}">
              <a16:creationId xmlns:a16="http://schemas.microsoft.com/office/drawing/2014/main" id="{00000000-0008-0000-0800-00002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6" name="Text Box 282">
          <a:extLst>
            <a:ext uri="{FF2B5EF4-FFF2-40B4-BE49-F238E27FC236}">
              <a16:creationId xmlns:a16="http://schemas.microsoft.com/office/drawing/2014/main" id="{00000000-0008-0000-0800-00002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7" name="Text Box 283">
          <a:extLst>
            <a:ext uri="{FF2B5EF4-FFF2-40B4-BE49-F238E27FC236}">
              <a16:creationId xmlns:a16="http://schemas.microsoft.com/office/drawing/2014/main" id="{00000000-0008-0000-0800-00002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8" name="Text Box 284">
          <a:extLst>
            <a:ext uri="{FF2B5EF4-FFF2-40B4-BE49-F238E27FC236}">
              <a16:creationId xmlns:a16="http://schemas.microsoft.com/office/drawing/2014/main" id="{00000000-0008-0000-0800-00002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9" name="Text Box 285">
          <a:extLst>
            <a:ext uri="{FF2B5EF4-FFF2-40B4-BE49-F238E27FC236}">
              <a16:creationId xmlns:a16="http://schemas.microsoft.com/office/drawing/2014/main" id="{00000000-0008-0000-0800-00002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0" name="Text Box 286">
          <a:extLst>
            <a:ext uri="{FF2B5EF4-FFF2-40B4-BE49-F238E27FC236}">
              <a16:creationId xmlns:a16="http://schemas.microsoft.com/office/drawing/2014/main" id="{00000000-0008-0000-0800-00002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1" name="Text Box 287">
          <a:extLst>
            <a:ext uri="{FF2B5EF4-FFF2-40B4-BE49-F238E27FC236}">
              <a16:creationId xmlns:a16="http://schemas.microsoft.com/office/drawing/2014/main" id="{00000000-0008-0000-0800-00002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2" name="Text Box 288">
          <a:extLst>
            <a:ext uri="{FF2B5EF4-FFF2-40B4-BE49-F238E27FC236}">
              <a16:creationId xmlns:a16="http://schemas.microsoft.com/office/drawing/2014/main" id="{00000000-0008-0000-0800-00002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3" name="Text Box 289">
          <a:extLst>
            <a:ext uri="{FF2B5EF4-FFF2-40B4-BE49-F238E27FC236}">
              <a16:creationId xmlns:a16="http://schemas.microsoft.com/office/drawing/2014/main" id="{00000000-0008-0000-0800-00002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4" name="Text Box 290">
          <a:extLst>
            <a:ext uri="{FF2B5EF4-FFF2-40B4-BE49-F238E27FC236}">
              <a16:creationId xmlns:a16="http://schemas.microsoft.com/office/drawing/2014/main" id="{00000000-0008-0000-0800-00002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5" name="Text Box 291">
          <a:extLst>
            <a:ext uri="{FF2B5EF4-FFF2-40B4-BE49-F238E27FC236}">
              <a16:creationId xmlns:a16="http://schemas.microsoft.com/office/drawing/2014/main" id="{00000000-0008-0000-0800-00002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6" name="Text Box 292">
          <a:extLst>
            <a:ext uri="{FF2B5EF4-FFF2-40B4-BE49-F238E27FC236}">
              <a16:creationId xmlns:a16="http://schemas.microsoft.com/office/drawing/2014/main" id="{00000000-0008-0000-0800-00002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7" name="Text Box 293">
          <a:extLst>
            <a:ext uri="{FF2B5EF4-FFF2-40B4-BE49-F238E27FC236}">
              <a16:creationId xmlns:a16="http://schemas.microsoft.com/office/drawing/2014/main" id="{00000000-0008-0000-0800-00002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8" name="Text Box 294">
          <a:extLst>
            <a:ext uri="{FF2B5EF4-FFF2-40B4-BE49-F238E27FC236}">
              <a16:creationId xmlns:a16="http://schemas.microsoft.com/office/drawing/2014/main" id="{00000000-0008-0000-0800-00003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9" name="Text Box 295">
          <a:extLst>
            <a:ext uri="{FF2B5EF4-FFF2-40B4-BE49-F238E27FC236}">
              <a16:creationId xmlns:a16="http://schemas.microsoft.com/office/drawing/2014/main" id="{00000000-0008-0000-0800-00003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50" name="Text Box 296">
          <a:extLst>
            <a:ext uri="{FF2B5EF4-FFF2-40B4-BE49-F238E27FC236}">
              <a16:creationId xmlns:a16="http://schemas.microsoft.com/office/drawing/2014/main" id="{00000000-0008-0000-0800-00003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1" name="Text Box 297">
          <a:extLst>
            <a:ext uri="{FF2B5EF4-FFF2-40B4-BE49-F238E27FC236}">
              <a16:creationId xmlns:a16="http://schemas.microsoft.com/office/drawing/2014/main" id="{00000000-0008-0000-0800-00003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2" name="Text Box 298">
          <a:extLst>
            <a:ext uri="{FF2B5EF4-FFF2-40B4-BE49-F238E27FC236}">
              <a16:creationId xmlns:a16="http://schemas.microsoft.com/office/drawing/2014/main" id="{00000000-0008-0000-0800-00003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3" name="Text Box 299">
          <a:extLst>
            <a:ext uri="{FF2B5EF4-FFF2-40B4-BE49-F238E27FC236}">
              <a16:creationId xmlns:a16="http://schemas.microsoft.com/office/drawing/2014/main" id="{00000000-0008-0000-0800-00003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4" name="Text Box 300">
          <a:extLst>
            <a:ext uri="{FF2B5EF4-FFF2-40B4-BE49-F238E27FC236}">
              <a16:creationId xmlns:a16="http://schemas.microsoft.com/office/drawing/2014/main" id="{00000000-0008-0000-0800-00003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5" name="Text Box 301">
          <a:extLst>
            <a:ext uri="{FF2B5EF4-FFF2-40B4-BE49-F238E27FC236}">
              <a16:creationId xmlns:a16="http://schemas.microsoft.com/office/drawing/2014/main" id="{00000000-0008-0000-0800-00003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6" name="Text Box 302">
          <a:extLst>
            <a:ext uri="{FF2B5EF4-FFF2-40B4-BE49-F238E27FC236}">
              <a16:creationId xmlns:a16="http://schemas.microsoft.com/office/drawing/2014/main" id="{00000000-0008-0000-0800-00003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7" name="Text Box 303">
          <a:extLst>
            <a:ext uri="{FF2B5EF4-FFF2-40B4-BE49-F238E27FC236}">
              <a16:creationId xmlns:a16="http://schemas.microsoft.com/office/drawing/2014/main" id="{00000000-0008-0000-0800-00003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8" name="Text Box 304">
          <a:extLst>
            <a:ext uri="{FF2B5EF4-FFF2-40B4-BE49-F238E27FC236}">
              <a16:creationId xmlns:a16="http://schemas.microsoft.com/office/drawing/2014/main" id="{00000000-0008-0000-0800-00003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9" name="Text Box 305">
          <a:extLst>
            <a:ext uri="{FF2B5EF4-FFF2-40B4-BE49-F238E27FC236}">
              <a16:creationId xmlns:a16="http://schemas.microsoft.com/office/drawing/2014/main" id="{00000000-0008-0000-0800-00003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0" name="Text Box 306">
          <a:extLst>
            <a:ext uri="{FF2B5EF4-FFF2-40B4-BE49-F238E27FC236}">
              <a16:creationId xmlns:a16="http://schemas.microsoft.com/office/drawing/2014/main" id="{00000000-0008-0000-0800-00003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1" name="Text Box 307">
          <a:extLst>
            <a:ext uri="{FF2B5EF4-FFF2-40B4-BE49-F238E27FC236}">
              <a16:creationId xmlns:a16="http://schemas.microsoft.com/office/drawing/2014/main" id="{00000000-0008-0000-0800-00003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2" name="Text Box 308">
          <a:extLst>
            <a:ext uri="{FF2B5EF4-FFF2-40B4-BE49-F238E27FC236}">
              <a16:creationId xmlns:a16="http://schemas.microsoft.com/office/drawing/2014/main" id="{00000000-0008-0000-0800-00003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3" name="Text Box 309">
          <a:extLst>
            <a:ext uri="{FF2B5EF4-FFF2-40B4-BE49-F238E27FC236}">
              <a16:creationId xmlns:a16="http://schemas.microsoft.com/office/drawing/2014/main" id="{00000000-0008-0000-0800-00003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4" name="Text Box 310">
          <a:extLst>
            <a:ext uri="{FF2B5EF4-FFF2-40B4-BE49-F238E27FC236}">
              <a16:creationId xmlns:a16="http://schemas.microsoft.com/office/drawing/2014/main" id="{00000000-0008-0000-0800-00004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5" name="Text Box 311">
          <a:extLst>
            <a:ext uri="{FF2B5EF4-FFF2-40B4-BE49-F238E27FC236}">
              <a16:creationId xmlns:a16="http://schemas.microsoft.com/office/drawing/2014/main" id="{00000000-0008-0000-0800-00004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6" name="Text Box 312">
          <a:extLst>
            <a:ext uri="{FF2B5EF4-FFF2-40B4-BE49-F238E27FC236}">
              <a16:creationId xmlns:a16="http://schemas.microsoft.com/office/drawing/2014/main" id="{00000000-0008-0000-0800-00004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7" name="Text Box 313">
          <a:extLst>
            <a:ext uri="{FF2B5EF4-FFF2-40B4-BE49-F238E27FC236}">
              <a16:creationId xmlns:a16="http://schemas.microsoft.com/office/drawing/2014/main" id="{00000000-0008-0000-0800-00004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8" name="Text Box 314">
          <a:extLst>
            <a:ext uri="{FF2B5EF4-FFF2-40B4-BE49-F238E27FC236}">
              <a16:creationId xmlns:a16="http://schemas.microsoft.com/office/drawing/2014/main" id="{00000000-0008-0000-0800-00004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9" name="Text Box 315">
          <a:extLst>
            <a:ext uri="{FF2B5EF4-FFF2-40B4-BE49-F238E27FC236}">
              <a16:creationId xmlns:a16="http://schemas.microsoft.com/office/drawing/2014/main" id="{00000000-0008-0000-0800-00004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0" name="Text Box 316">
          <a:extLst>
            <a:ext uri="{FF2B5EF4-FFF2-40B4-BE49-F238E27FC236}">
              <a16:creationId xmlns:a16="http://schemas.microsoft.com/office/drawing/2014/main" id="{00000000-0008-0000-0800-00004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1" name="Text Box 317">
          <a:extLst>
            <a:ext uri="{FF2B5EF4-FFF2-40B4-BE49-F238E27FC236}">
              <a16:creationId xmlns:a16="http://schemas.microsoft.com/office/drawing/2014/main" id="{00000000-0008-0000-0800-00004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2" name="Text Box 318">
          <a:extLst>
            <a:ext uri="{FF2B5EF4-FFF2-40B4-BE49-F238E27FC236}">
              <a16:creationId xmlns:a16="http://schemas.microsoft.com/office/drawing/2014/main" id="{00000000-0008-0000-0800-00004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3" name="Text Box 319">
          <a:extLst>
            <a:ext uri="{FF2B5EF4-FFF2-40B4-BE49-F238E27FC236}">
              <a16:creationId xmlns:a16="http://schemas.microsoft.com/office/drawing/2014/main" id="{00000000-0008-0000-0800-00004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4" name="Text Box 320">
          <a:extLst>
            <a:ext uri="{FF2B5EF4-FFF2-40B4-BE49-F238E27FC236}">
              <a16:creationId xmlns:a16="http://schemas.microsoft.com/office/drawing/2014/main" id="{00000000-0008-0000-0800-00004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5" name="Text Box 28">
          <a:extLst>
            <a:ext uri="{FF2B5EF4-FFF2-40B4-BE49-F238E27FC236}">
              <a16:creationId xmlns:a16="http://schemas.microsoft.com/office/drawing/2014/main" id="{00000000-0008-0000-0800-00004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6" name="Text Box 29">
          <a:extLst>
            <a:ext uri="{FF2B5EF4-FFF2-40B4-BE49-F238E27FC236}">
              <a16:creationId xmlns:a16="http://schemas.microsoft.com/office/drawing/2014/main" id="{00000000-0008-0000-0800-00004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7" name="Text Box 30">
          <a:extLst>
            <a:ext uri="{FF2B5EF4-FFF2-40B4-BE49-F238E27FC236}">
              <a16:creationId xmlns:a16="http://schemas.microsoft.com/office/drawing/2014/main" id="{00000000-0008-0000-0800-00004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8" name="Text Box 31">
          <a:extLst>
            <a:ext uri="{FF2B5EF4-FFF2-40B4-BE49-F238E27FC236}">
              <a16:creationId xmlns:a16="http://schemas.microsoft.com/office/drawing/2014/main" id="{00000000-0008-0000-0800-00004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9" name="Text Box 32">
          <a:extLst>
            <a:ext uri="{FF2B5EF4-FFF2-40B4-BE49-F238E27FC236}">
              <a16:creationId xmlns:a16="http://schemas.microsoft.com/office/drawing/2014/main" id="{00000000-0008-0000-0800-00004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0" name="Text Box 33">
          <a:extLst>
            <a:ext uri="{FF2B5EF4-FFF2-40B4-BE49-F238E27FC236}">
              <a16:creationId xmlns:a16="http://schemas.microsoft.com/office/drawing/2014/main" id="{00000000-0008-0000-0800-00005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1" name="Text Box 34">
          <a:extLst>
            <a:ext uri="{FF2B5EF4-FFF2-40B4-BE49-F238E27FC236}">
              <a16:creationId xmlns:a16="http://schemas.microsoft.com/office/drawing/2014/main" id="{00000000-0008-0000-0800-00005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2" name="Text Box 35">
          <a:extLst>
            <a:ext uri="{FF2B5EF4-FFF2-40B4-BE49-F238E27FC236}">
              <a16:creationId xmlns:a16="http://schemas.microsoft.com/office/drawing/2014/main" id="{00000000-0008-0000-0800-00005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3" name="Text Box 36">
          <a:extLst>
            <a:ext uri="{FF2B5EF4-FFF2-40B4-BE49-F238E27FC236}">
              <a16:creationId xmlns:a16="http://schemas.microsoft.com/office/drawing/2014/main" id="{00000000-0008-0000-0800-00005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4" name="Text Box 37">
          <a:extLst>
            <a:ext uri="{FF2B5EF4-FFF2-40B4-BE49-F238E27FC236}">
              <a16:creationId xmlns:a16="http://schemas.microsoft.com/office/drawing/2014/main" id="{00000000-0008-0000-0800-00005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5" name="Text Box 38">
          <a:extLst>
            <a:ext uri="{FF2B5EF4-FFF2-40B4-BE49-F238E27FC236}">
              <a16:creationId xmlns:a16="http://schemas.microsoft.com/office/drawing/2014/main" id="{00000000-0008-0000-0800-00005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6" name="Text Box 39">
          <a:extLst>
            <a:ext uri="{FF2B5EF4-FFF2-40B4-BE49-F238E27FC236}">
              <a16:creationId xmlns:a16="http://schemas.microsoft.com/office/drawing/2014/main" id="{00000000-0008-0000-0800-00005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7" name="Text Box 40">
          <a:extLst>
            <a:ext uri="{FF2B5EF4-FFF2-40B4-BE49-F238E27FC236}">
              <a16:creationId xmlns:a16="http://schemas.microsoft.com/office/drawing/2014/main" id="{00000000-0008-0000-0800-00005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8" name="Text Box 41">
          <a:extLst>
            <a:ext uri="{FF2B5EF4-FFF2-40B4-BE49-F238E27FC236}">
              <a16:creationId xmlns:a16="http://schemas.microsoft.com/office/drawing/2014/main" id="{00000000-0008-0000-0800-00005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9" name="Text Box 42">
          <a:extLst>
            <a:ext uri="{FF2B5EF4-FFF2-40B4-BE49-F238E27FC236}">
              <a16:creationId xmlns:a16="http://schemas.microsoft.com/office/drawing/2014/main" id="{00000000-0008-0000-0800-00005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0" name="Text Box 43">
          <a:extLst>
            <a:ext uri="{FF2B5EF4-FFF2-40B4-BE49-F238E27FC236}">
              <a16:creationId xmlns:a16="http://schemas.microsoft.com/office/drawing/2014/main" id="{00000000-0008-0000-0800-00005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1" name="Text Box 44">
          <a:extLst>
            <a:ext uri="{FF2B5EF4-FFF2-40B4-BE49-F238E27FC236}">
              <a16:creationId xmlns:a16="http://schemas.microsoft.com/office/drawing/2014/main" id="{00000000-0008-0000-0800-00005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2" name="Text Box 45">
          <a:extLst>
            <a:ext uri="{FF2B5EF4-FFF2-40B4-BE49-F238E27FC236}">
              <a16:creationId xmlns:a16="http://schemas.microsoft.com/office/drawing/2014/main" id="{00000000-0008-0000-0800-00005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3" name="Text Box 46">
          <a:extLst>
            <a:ext uri="{FF2B5EF4-FFF2-40B4-BE49-F238E27FC236}">
              <a16:creationId xmlns:a16="http://schemas.microsoft.com/office/drawing/2014/main" id="{00000000-0008-0000-0800-00005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4" name="Text Box 47">
          <a:extLst>
            <a:ext uri="{FF2B5EF4-FFF2-40B4-BE49-F238E27FC236}">
              <a16:creationId xmlns:a16="http://schemas.microsoft.com/office/drawing/2014/main" id="{00000000-0008-0000-0800-00005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5" name="Text Box 48">
          <a:extLst>
            <a:ext uri="{FF2B5EF4-FFF2-40B4-BE49-F238E27FC236}">
              <a16:creationId xmlns:a16="http://schemas.microsoft.com/office/drawing/2014/main" id="{00000000-0008-0000-0800-00005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6" name="Text Box 49">
          <a:extLst>
            <a:ext uri="{FF2B5EF4-FFF2-40B4-BE49-F238E27FC236}">
              <a16:creationId xmlns:a16="http://schemas.microsoft.com/office/drawing/2014/main" id="{00000000-0008-0000-0800-00006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7" name="Text Box 50">
          <a:extLst>
            <a:ext uri="{FF2B5EF4-FFF2-40B4-BE49-F238E27FC236}">
              <a16:creationId xmlns:a16="http://schemas.microsoft.com/office/drawing/2014/main" id="{00000000-0008-0000-0800-00006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8" name="Text Box 51">
          <a:extLst>
            <a:ext uri="{FF2B5EF4-FFF2-40B4-BE49-F238E27FC236}">
              <a16:creationId xmlns:a16="http://schemas.microsoft.com/office/drawing/2014/main" id="{00000000-0008-0000-0800-00006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9" name="Text Box 52">
          <a:extLst>
            <a:ext uri="{FF2B5EF4-FFF2-40B4-BE49-F238E27FC236}">
              <a16:creationId xmlns:a16="http://schemas.microsoft.com/office/drawing/2014/main" id="{00000000-0008-0000-0800-00006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0" name="Text Box 53">
          <a:extLst>
            <a:ext uri="{FF2B5EF4-FFF2-40B4-BE49-F238E27FC236}">
              <a16:creationId xmlns:a16="http://schemas.microsoft.com/office/drawing/2014/main" id="{00000000-0008-0000-0800-00006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1" name="Text Box 54">
          <a:extLst>
            <a:ext uri="{FF2B5EF4-FFF2-40B4-BE49-F238E27FC236}">
              <a16:creationId xmlns:a16="http://schemas.microsoft.com/office/drawing/2014/main" id="{00000000-0008-0000-0800-00006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2" name="Text Box 55">
          <a:extLst>
            <a:ext uri="{FF2B5EF4-FFF2-40B4-BE49-F238E27FC236}">
              <a16:creationId xmlns:a16="http://schemas.microsoft.com/office/drawing/2014/main" id="{00000000-0008-0000-0800-00006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3" name="Text Box 56">
          <a:extLst>
            <a:ext uri="{FF2B5EF4-FFF2-40B4-BE49-F238E27FC236}">
              <a16:creationId xmlns:a16="http://schemas.microsoft.com/office/drawing/2014/main" id="{00000000-0008-0000-0800-00006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4" name="Text Box 57">
          <a:extLst>
            <a:ext uri="{FF2B5EF4-FFF2-40B4-BE49-F238E27FC236}">
              <a16:creationId xmlns:a16="http://schemas.microsoft.com/office/drawing/2014/main" id="{00000000-0008-0000-0800-00006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5" name="Text Box 58">
          <a:extLst>
            <a:ext uri="{FF2B5EF4-FFF2-40B4-BE49-F238E27FC236}">
              <a16:creationId xmlns:a16="http://schemas.microsoft.com/office/drawing/2014/main" id="{00000000-0008-0000-0800-00006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6" name="Text Box 59">
          <a:extLst>
            <a:ext uri="{FF2B5EF4-FFF2-40B4-BE49-F238E27FC236}">
              <a16:creationId xmlns:a16="http://schemas.microsoft.com/office/drawing/2014/main" id="{00000000-0008-0000-0800-00006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7" name="Text Box 60">
          <a:extLst>
            <a:ext uri="{FF2B5EF4-FFF2-40B4-BE49-F238E27FC236}">
              <a16:creationId xmlns:a16="http://schemas.microsoft.com/office/drawing/2014/main" id="{00000000-0008-0000-0800-00006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8" name="Text Box 61">
          <a:extLst>
            <a:ext uri="{FF2B5EF4-FFF2-40B4-BE49-F238E27FC236}">
              <a16:creationId xmlns:a16="http://schemas.microsoft.com/office/drawing/2014/main" id="{00000000-0008-0000-0800-00006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9" name="Text Box 62">
          <a:extLst>
            <a:ext uri="{FF2B5EF4-FFF2-40B4-BE49-F238E27FC236}">
              <a16:creationId xmlns:a16="http://schemas.microsoft.com/office/drawing/2014/main" id="{00000000-0008-0000-0800-00006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0" name="Text Box 63">
          <a:extLst>
            <a:ext uri="{FF2B5EF4-FFF2-40B4-BE49-F238E27FC236}">
              <a16:creationId xmlns:a16="http://schemas.microsoft.com/office/drawing/2014/main" id="{00000000-0008-0000-0800-00006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1" name="Text Box 64">
          <a:extLst>
            <a:ext uri="{FF2B5EF4-FFF2-40B4-BE49-F238E27FC236}">
              <a16:creationId xmlns:a16="http://schemas.microsoft.com/office/drawing/2014/main" id="{00000000-0008-0000-0800-00006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2" name="Text Box 65">
          <a:extLst>
            <a:ext uri="{FF2B5EF4-FFF2-40B4-BE49-F238E27FC236}">
              <a16:creationId xmlns:a16="http://schemas.microsoft.com/office/drawing/2014/main" id="{00000000-0008-0000-0800-00007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3" name="Text Box 66">
          <a:extLst>
            <a:ext uri="{FF2B5EF4-FFF2-40B4-BE49-F238E27FC236}">
              <a16:creationId xmlns:a16="http://schemas.microsoft.com/office/drawing/2014/main" id="{00000000-0008-0000-0800-00007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4" name="Text Box 67">
          <a:extLst>
            <a:ext uri="{FF2B5EF4-FFF2-40B4-BE49-F238E27FC236}">
              <a16:creationId xmlns:a16="http://schemas.microsoft.com/office/drawing/2014/main" id="{00000000-0008-0000-0800-00007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5" name="Text Box 68">
          <a:extLst>
            <a:ext uri="{FF2B5EF4-FFF2-40B4-BE49-F238E27FC236}">
              <a16:creationId xmlns:a16="http://schemas.microsoft.com/office/drawing/2014/main" id="{00000000-0008-0000-0800-00007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6" name="Text Box 69">
          <a:extLst>
            <a:ext uri="{FF2B5EF4-FFF2-40B4-BE49-F238E27FC236}">
              <a16:creationId xmlns:a16="http://schemas.microsoft.com/office/drawing/2014/main" id="{00000000-0008-0000-0800-00007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7" name="Text Box 70">
          <a:extLst>
            <a:ext uri="{FF2B5EF4-FFF2-40B4-BE49-F238E27FC236}">
              <a16:creationId xmlns:a16="http://schemas.microsoft.com/office/drawing/2014/main" id="{00000000-0008-0000-0800-00007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8" name="Text Box 71">
          <a:extLst>
            <a:ext uri="{FF2B5EF4-FFF2-40B4-BE49-F238E27FC236}">
              <a16:creationId xmlns:a16="http://schemas.microsoft.com/office/drawing/2014/main" id="{00000000-0008-0000-0800-00007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9" name="Text Box 72">
          <a:extLst>
            <a:ext uri="{FF2B5EF4-FFF2-40B4-BE49-F238E27FC236}">
              <a16:creationId xmlns:a16="http://schemas.microsoft.com/office/drawing/2014/main" id="{00000000-0008-0000-0800-00007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0" name="Text Box 73">
          <a:extLst>
            <a:ext uri="{FF2B5EF4-FFF2-40B4-BE49-F238E27FC236}">
              <a16:creationId xmlns:a16="http://schemas.microsoft.com/office/drawing/2014/main" id="{00000000-0008-0000-0800-00007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1" name="Text Box 74">
          <a:extLst>
            <a:ext uri="{FF2B5EF4-FFF2-40B4-BE49-F238E27FC236}">
              <a16:creationId xmlns:a16="http://schemas.microsoft.com/office/drawing/2014/main" id="{00000000-0008-0000-0800-00007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2" name="Text Box 75">
          <a:extLst>
            <a:ext uri="{FF2B5EF4-FFF2-40B4-BE49-F238E27FC236}">
              <a16:creationId xmlns:a16="http://schemas.microsoft.com/office/drawing/2014/main" id="{00000000-0008-0000-0800-00007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3" name="Text Box 76">
          <a:extLst>
            <a:ext uri="{FF2B5EF4-FFF2-40B4-BE49-F238E27FC236}">
              <a16:creationId xmlns:a16="http://schemas.microsoft.com/office/drawing/2014/main" id="{00000000-0008-0000-0800-00007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4" name="Text Box 77">
          <a:extLst>
            <a:ext uri="{FF2B5EF4-FFF2-40B4-BE49-F238E27FC236}">
              <a16:creationId xmlns:a16="http://schemas.microsoft.com/office/drawing/2014/main" id="{00000000-0008-0000-0800-00007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5" name="Text Box 78">
          <a:extLst>
            <a:ext uri="{FF2B5EF4-FFF2-40B4-BE49-F238E27FC236}">
              <a16:creationId xmlns:a16="http://schemas.microsoft.com/office/drawing/2014/main" id="{00000000-0008-0000-0800-00007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6" name="Text Box 79">
          <a:extLst>
            <a:ext uri="{FF2B5EF4-FFF2-40B4-BE49-F238E27FC236}">
              <a16:creationId xmlns:a16="http://schemas.microsoft.com/office/drawing/2014/main" id="{00000000-0008-0000-0800-00007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7" name="Text Box 80">
          <a:extLst>
            <a:ext uri="{FF2B5EF4-FFF2-40B4-BE49-F238E27FC236}">
              <a16:creationId xmlns:a16="http://schemas.microsoft.com/office/drawing/2014/main" id="{00000000-0008-0000-0800-00007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8" name="Text Box 81">
          <a:extLst>
            <a:ext uri="{FF2B5EF4-FFF2-40B4-BE49-F238E27FC236}">
              <a16:creationId xmlns:a16="http://schemas.microsoft.com/office/drawing/2014/main" id="{00000000-0008-0000-0800-00008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9" name="Text Box 82">
          <a:extLst>
            <a:ext uri="{FF2B5EF4-FFF2-40B4-BE49-F238E27FC236}">
              <a16:creationId xmlns:a16="http://schemas.microsoft.com/office/drawing/2014/main" id="{00000000-0008-0000-0800-00008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0" name="Text Box 83">
          <a:extLst>
            <a:ext uri="{FF2B5EF4-FFF2-40B4-BE49-F238E27FC236}">
              <a16:creationId xmlns:a16="http://schemas.microsoft.com/office/drawing/2014/main" id="{00000000-0008-0000-0800-00008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1" name="Text Box 84">
          <a:extLst>
            <a:ext uri="{FF2B5EF4-FFF2-40B4-BE49-F238E27FC236}">
              <a16:creationId xmlns:a16="http://schemas.microsoft.com/office/drawing/2014/main" id="{00000000-0008-0000-0800-00008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2" name="Text Box 85">
          <a:extLst>
            <a:ext uri="{FF2B5EF4-FFF2-40B4-BE49-F238E27FC236}">
              <a16:creationId xmlns:a16="http://schemas.microsoft.com/office/drawing/2014/main" id="{00000000-0008-0000-0800-00008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3" name="Text Box 86">
          <a:extLst>
            <a:ext uri="{FF2B5EF4-FFF2-40B4-BE49-F238E27FC236}">
              <a16:creationId xmlns:a16="http://schemas.microsoft.com/office/drawing/2014/main" id="{00000000-0008-0000-0800-00008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4" name="Text Box 87">
          <a:extLst>
            <a:ext uri="{FF2B5EF4-FFF2-40B4-BE49-F238E27FC236}">
              <a16:creationId xmlns:a16="http://schemas.microsoft.com/office/drawing/2014/main" id="{00000000-0008-0000-0800-00008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5" name="Text Box 88">
          <a:extLst>
            <a:ext uri="{FF2B5EF4-FFF2-40B4-BE49-F238E27FC236}">
              <a16:creationId xmlns:a16="http://schemas.microsoft.com/office/drawing/2014/main" id="{00000000-0008-0000-0800-00008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6" name="Text Box 89">
          <a:extLst>
            <a:ext uri="{FF2B5EF4-FFF2-40B4-BE49-F238E27FC236}">
              <a16:creationId xmlns:a16="http://schemas.microsoft.com/office/drawing/2014/main" id="{00000000-0008-0000-0800-00008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7" name="Text Box 90">
          <a:extLst>
            <a:ext uri="{FF2B5EF4-FFF2-40B4-BE49-F238E27FC236}">
              <a16:creationId xmlns:a16="http://schemas.microsoft.com/office/drawing/2014/main" id="{00000000-0008-0000-0800-00008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8" name="Text Box 91">
          <a:extLst>
            <a:ext uri="{FF2B5EF4-FFF2-40B4-BE49-F238E27FC236}">
              <a16:creationId xmlns:a16="http://schemas.microsoft.com/office/drawing/2014/main" id="{00000000-0008-0000-0800-00008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9" name="Text Box 92">
          <a:extLst>
            <a:ext uri="{FF2B5EF4-FFF2-40B4-BE49-F238E27FC236}">
              <a16:creationId xmlns:a16="http://schemas.microsoft.com/office/drawing/2014/main" id="{00000000-0008-0000-0800-00008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0" name="Text Box 93">
          <a:extLst>
            <a:ext uri="{FF2B5EF4-FFF2-40B4-BE49-F238E27FC236}">
              <a16:creationId xmlns:a16="http://schemas.microsoft.com/office/drawing/2014/main" id="{00000000-0008-0000-0800-00008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1" name="Text Box 94">
          <a:extLst>
            <a:ext uri="{FF2B5EF4-FFF2-40B4-BE49-F238E27FC236}">
              <a16:creationId xmlns:a16="http://schemas.microsoft.com/office/drawing/2014/main" id="{00000000-0008-0000-0800-00008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2" name="Text Box 95">
          <a:extLst>
            <a:ext uri="{FF2B5EF4-FFF2-40B4-BE49-F238E27FC236}">
              <a16:creationId xmlns:a16="http://schemas.microsoft.com/office/drawing/2014/main" id="{00000000-0008-0000-0800-00008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3" name="Text Box 96">
          <a:extLst>
            <a:ext uri="{FF2B5EF4-FFF2-40B4-BE49-F238E27FC236}">
              <a16:creationId xmlns:a16="http://schemas.microsoft.com/office/drawing/2014/main" id="{00000000-0008-0000-0800-00008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4" name="Text Box 97">
          <a:extLst>
            <a:ext uri="{FF2B5EF4-FFF2-40B4-BE49-F238E27FC236}">
              <a16:creationId xmlns:a16="http://schemas.microsoft.com/office/drawing/2014/main" id="{00000000-0008-0000-0800-00009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5" name="Text Box 100">
          <a:extLst>
            <a:ext uri="{FF2B5EF4-FFF2-40B4-BE49-F238E27FC236}">
              <a16:creationId xmlns:a16="http://schemas.microsoft.com/office/drawing/2014/main" id="{00000000-0008-0000-0800-00009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6" name="Text Box 101">
          <a:extLst>
            <a:ext uri="{FF2B5EF4-FFF2-40B4-BE49-F238E27FC236}">
              <a16:creationId xmlns:a16="http://schemas.microsoft.com/office/drawing/2014/main" id="{00000000-0008-0000-0800-00009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7" name="Text Box 102">
          <a:extLst>
            <a:ext uri="{FF2B5EF4-FFF2-40B4-BE49-F238E27FC236}">
              <a16:creationId xmlns:a16="http://schemas.microsoft.com/office/drawing/2014/main" id="{00000000-0008-0000-0800-00009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8" name="Text Box 103">
          <a:extLst>
            <a:ext uri="{FF2B5EF4-FFF2-40B4-BE49-F238E27FC236}">
              <a16:creationId xmlns:a16="http://schemas.microsoft.com/office/drawing/2014/main" id="{00000000-0008-0000-0800-00009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9" name="Text Box 104">
          <a:extLst>
            <a:ext uri="{FF2B5EF4-FFF2-40B4-BE49-F238E27FC236}">
              <a16:creationId xmlns:a16="http://schemas.microsoft.com/office/drawing/2014/main" id="{00000000-0008-0000-0800-00009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0" name="Text Box 105">
          <a:extLst>
            <a:ext uri="{FF2B5EF4-FFF2-40B4-BE49-F238E27FC236}">
              <a16:creationId xmlns:a16="http://schemas.microsoft.com/office/drawing/2014/main" id="{00000000-0008-0000-0800-00009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1" name="Text Box 106">
          <a:extLst>
            <a:ext uri="{FF2B5EF4-FFF2-40B4-BE49-F238E27FC236}">
              <a16:creationId xmlns:a16="http://schemas.microsoft.com/office/drawing/2014/main" id="{00000000-0008-0000-0800-00009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2" name="Text Box 107">
          <a:extLst>
            <a:ext uri="{FF2B5EF4-FFF2-40B4-BE49-F238E27FC236}">
              <a16:creationId xmlns:a16="http://schemas.microsoft.com/office/drawing/2014/main" id="{00000000-0008-0000-0800-00009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3" name="Text Box 108">
          <a:extLst>
            <a:ext uri="{FF2B5EF4-FFF2-40B4-BE49-F238E27FC236}">
              <a16:creationId xmlns:a16="http://schemas.microsoft.com/office/drawing/2014/main" id="{00000000-0008-0000-0800-00009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4" name="Text Box 109">
          <a:extLst>
            <a:ext uri="{FF2B5EF4-FFF2-40B4-BE49-F238E27FC236}">
              <a16:creationId xmlns:a16="http://schemas.microsoft.com/office/drawing/2014/main" id="{00000000-0008-0000-0800-00009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5" name="Text Box 110">
          <a:extLst>
            <a:ext uri="{FF2B5EF4-FFF2-40B4-BE49-F238E27FC236}">
              <a16:creationId xmlns:a16="http://schemas.microsoft.com/office/drawing/2014/main" id="{00000000-0008-0000-0800-00009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6" name="Text Box 111">
          <a:extLst>
            <a:ext uri="{FF2B5EF4-FFF2-40B4-BE49-F238E27FC236}">
              <a16:creationId xmlns:a16="http://schemas.microsoft.com/office/drawing/2014/main" id="{00000000-0008-0000-0800-00009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7" name="Text Box 119">
          <a:extLst>
            <a:ext uri="{FF2B5EF4-FFF2-40B4-BE49-F238E27FC236}">
              <a16:creationId xmlns:a16="http://schemas.microsoft.com/office/drawing/2014/main" id="{00000000-0008-0000-0800-00009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8" name="Text Box 120">
          <a:extLst>
            <a:ext uri="{FF2B5EF4-FFF2-40B4-BE49-F238E27FC236}">
              <a16:creationId xmlns:a16="http://schemas.microsoft.com/office/drawing/2014/main" id="{00000000-0008-0000-0800-00009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9" name="Text Box 121">
          <a:extLst>
            <a:ext uri="{FF2B5EF4-FFF2-40B4-BE49-F238E27FC236}">
              <a16:creationId xmlns:a16="http://schemas.microsoft.com/office/drawing/2014/main" id="{00000000-0008-0000-0800-00009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0" name="Text Box 122">
          <a:extLst>
            <a:ext uri="{FF2B5EF4-FFF2-40B4-BE49-F238E27FC236}">
              <a16:creationId xmlns:a16="http://schemas.microsoft.com/office/drawing/2014/main" id="{00000000-0008-0000-0800-0000A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1" name="Text Box 123">
          <a:extLst>
            <a:ext uri="{FF2B5EF4-FFF2-40B4-BE49-F238E27FC236}">
              <a16:creationId xmlns:a16="http://schemas.microsoft.com/office/drawing/2014/main" id="{00000000-0008-0000-0800-0000A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2" name="Text Box 124">
          <a:extLst>
            <a:ext uri="{FF2B5EF4-FFF2-40B4-BE49-F238E27FC236}">
              <a16:creationId xmlns:a16="http://schemas.microsoft.com/office/drawing/2014/main" id="{00000000-0008-0000-0800-0000A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3" name="Text Box 125">
          <a:extLst>
            <a:ext uri="{FF2B5EF4-FFF2-40B4-BE49-F238E27FC236}">
              <a16:creationId xmlns:a16="http://schemas.microsoft.com/office/drawing/2014/main" id="{00000000-0008-0000-0800-0000A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4" name="Text Box 126">
          <a:extLst>
            <a:ext uri="{FF2B5EF4-FFF2-40B4-BE49-F238E27FC236}">
              <a16:creationId xmlns:a16="http://schemas.microsoft.com/office/drawing/2014/main" id="{00000000-0008-0000-0800-0000A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5" name="Text Box 127">
          <a:extLst>
            <a:ext uri="{FF2B5EF4-FFF2-40B4-BE49-F238E27FC236}">
              <a16:creationId xmlns:a16="http://schemas.microsoft.com/office/drawing/2014/main" id="{00000000-0008-0000-0800-0000A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6" name="Text Box 128">
          <a:extLst>
            <a:ext uri="{FF2B5EF4-FFF2-40B4-BE49-F238E27FC236}">
              <a16:creationId xmlns:a16="http://schemas.microsoft.com/office/drawing/2014/main" id="{00000000-0008-0000-0800-0000A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7" name="Text Box 129">
          <a:extLst>
            <a:ext uri="{FF2B5EF4-FFF2-40B4-BE49-F238E27FC236}">
              <a16:creationId xmlns:a16="http://schemas.microsoft.com/office/drawing/2014/main" id="{00000000-0008-0000-0800-0000A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8" name="Text Box 130">
          <a:extLst>
            <a:ext uri="{FF2B5EF4-FFF2-40B4-BE49-F238E27FC236}">
              <a16:creationId xmlns:a16="http://schemas.microsoft.com/office/drawing/2014/main" id="{00000000-0008-0000-0800-0000A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69" name="Text Box 133">
          <a:extLst>
            <a:ext uri="{FF2B5EF4-FFF2-40B4-BE49-F238E27FC236}">
              <a16:creationId xmlns:a16="http://schemas.microsoft.com/office/drawing/2014/main" id="{00000000-0008-0000-0800-0000A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0" name="Text Box 134">
          <a:extLst>
            <a:ext uri="{FF2B5EF4-FFF2-40B4-BE49-F238E27FC236}">
              <a16:creationId xmlns:a16="http://schemas.microsoft.com/office/drawing/2014/main" id="{00000000-0008-0000-0800-0000A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1" name="Text Box 135">
          <a:extLst>
            <a:ext uri="{FF2B5EF4-FFF2-40B4-BE49-F238E27FC236}">
              <a16:creationId xmlns:a16="http://schemas.microsoft.com/office/drawing/2014/main" id="{00000000-0008-0000-0800-0000A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2" name="Text Box 136">
          <a:extLst>
            <a:ext uri="{FF2B5EF4-FFF2-40B4-BE49-F238E27FC236}">
              <a16:creationId xmlns:a16="http://schemas.microsoft.com/office/drawing/2014/main" id="{00000000-0008-0000-0800-0000A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3" name="Text Box 137">
          <a:extLst>
            <a:ext uri="{FF2B5EF4-FFF2-40B4-BE49-F238E27FC236}">
              <a16:creationId xmlns:a16="http://schemas.microsoft.com/office/drawing/2014/main" id="{00000000-0008-0000-0800-0000A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4" name="Text Box 138">
          <a:extLst>
            <a:ext uri="{FF2B5EF4-FFF2-40B4-BE49-F238E27FC236}">
              <a16:creationId xmlns:a16="http://schemas.microsoft.com/office/drawing/2014/main" id="{00000000-0008-0000-0800-0000A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5" name="Text Box 139">
          <a:extLst>
            <a:ext uri="{FF2B5EF4-FFF2-40B4-BE49-F238E27FC236}">
              <a16:creationId xmlns:a16="http://schemas.microsoft.com/office/drawing/2014/main" id="{00000000-0008-0000-0800-0000A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6" name="Text Box 140">
          <a:extLst>
            <a:ext uri="{FF2B5EF4-FFF2-40B4-BE49-F238E27FC236}">
              <a16:creationId xmlns:a16="http://schemas.microsoft.com/office/drawing/2014/main" id="{00000000-0008-0000-0800-0000B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7" name="Text Box 141">
          <a:extLst>
            <a:ext uri="{FF2B5EF4-FFF2-40B4-BE49-F238E27FC236}">
              <a16:creationId xmlns:a16="http://schemas.microsoft.com/office/drawing/2014/main" id="{00000000-0008-0000-0800-0000B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8" name="Text Box 142">
          <a:extLst>
            <a:ext uri="{FF2B5EF4-FFF2-40B4-BE49-F238E27FC236}">
              <a16:creationId xmlns:a16="http://schemas.microsoft.com/office/drawing/2014/main" id="{00000000-0008-0000-0800-0000B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9" name="Text Box 143">
          <a:extLst>
            <a:ext uri="{FF2B5EF4-FFF2-40B4-BE49-F238E27FC236}">
              <a16:creationId xmlns:a16="http://schemas.microsoft.com/office/drawing/2014/main" id="{00000000-0008-0000-0800-0000B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0" name="Text Box 144">
          <a:extLst>
            <a:ext uri="{FF2B5EF4-FFF2-40B4-BE49-F238E27FC236}">
              <a16:creationId xmlns:a16="http://schemas.microsoft.com/office/drawing/2014/main" id="{00000000-0008-0000-0800-0000B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1" name="Text Box 145">
          <a:extLst>
            <a:ext uri="{FF2B5EF4-FFF2-40B4-BE49-F238E27FC236}">
              <a16:creationId xmlns:a16="http://schemas.microsoft.com/office/drawing/2014/main" id="{00000000-0008-0000-0800-0000B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2" name="Text Box 146">
          <a:extLst>
            <a:ext uri="{FF2B5EF4-FFF2-40B4-BE49-F238E27FC236}">
              <a16:creationId xmlns:a16="http://schemas.microsoft.com/office/drawing/2014/main" id="{00000000-0008-0000-0800-0000B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3" name="Text Box 147">
          <a:extLst>
            <a:ext uri="{FF2B5EF4-FFF2-40B4-BE49-F238E27FC236}">
              <a16:creationId xmlns:a16="http://schemas.microsoft.com/office/drawing/2014/main" id="{00000000-0008-0000-0800-0000B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4" name="Text Box 148">
          <a:extLst>
            <a:ext uri="{FF2B5EF4-FFF2-40B4-BE49-F238E27FC236}">
              <a16:creationId xmlns:a16="http://schemas.microsoft.com/office/drawing/2014/main" id="{00000000-0008-0000-0800-0000B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5" name="Text Box 149">
          <a:extLst>
            <a:ext uri="{FF2B5EF4-FFF2-40B4-BE49-F238E27FC236}">
              <a16:creationId xmlns:a16="http://schemas.microsoft.com/office/drawing/2014/main" id="{00000000-0008-0000-0800-0000B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6" name="Text Box 150">
          <a:extLst>
            <a:ext uri="{FF2B5EF4-FFF2-40B4-BE49-F238E27FC236}">
              <a16:creationId xmlns:a16="http://schemas.microsoft.com/office/drawing/2014/main" id="{00000000-0008-0000-0800-0000B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7" name="Text Box 151">
          <a:extLst>
            <a:ext uri="{FF2B5EF4-FFF2-40B4-BE49-F238E27FC236}">
              <a16:creationId xmlns:a16="http://schemas.microsoft.com/office/drawing/2014/main" id="{00000000-0008-0000-0800-0000B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8" name="Text Box 152">
          <a:extLst>
            <a:ext uri="{FF2B5EF4-FFF2-40B4-BE49-F238E27FC236}">
              <a16:creationId xmlns:a16="http://schemas.microsoft.com/office/drawing/2014/main" id="{00000000-0008-0000-0800-0000B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9" name="Text Box 153">
          <a:extLst>
            <a:ext uri="{FF2B5EF4-FFF2-40B4-BE49-F238E27FC236}">
              <a16:creationId xmlns:a16="http://schemas.microsoft.com/office/drawing/2014/main" id="{00000000-0008-0000-0800-0000B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0" name="Text Box 154">
          <a:extLst>
            <a:ext uri="{FF2B5EF4-FFF2-40B4-BE49-F238E27FC236}">
              <a16:creationId xmlns:a16="http://schemas.microsoft.com/office/drawing/2014/main" id="{00000000-0008-0000-0800-0000B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1" name="Text Box 155">
          <a:extLst>
            <a:ext uri="{FF2B5EF4-FFF2-40B4-BE49-F238E27FC236}">
              <a16:creationId xmlns:a16="http://schemas.microsoft.com/office/drawing/2014/main" id="{00000000-0008-0000-0800-0000B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2" name="Text Box 156">
          <a:extLst>
            <a:ext uri="{FF2B5EF4-FFF2-40B4-BE49-F238E27FC236}">
              <a16:creationId xmlns:a16="http://schemas.microsoft.com/office/drawing/2014/main" id="{00000000-0008-0000-0800-0000C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3" name="Text Box 157">
          <a:extLst>
            <a:ext uri="{FF2B5EF4-FFF2-40B4-BE49-F238E27FC236}">
              <a16:creationId xmlns:a16="http://schemas.microsoft.com/office/drawing/2014/main" id="{00000000-0008-0000-0800-0000C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4" name="Text Box 158">
          <a:extLst>
            <a:ext uri="{FF2B5EF4-FFF2-40B4-BE49-F238E27FC236}">
              <a16:creationId xmlns:a16="http://schemas.microsoft.com/office/drawing/2014/main" id="{00000000-0008-0000-0800-0000C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5" name="Text Box 159">
          <a:extLst>
            <a:ext uri="{FF2B5EF4-FFF2-40B4-BE49-F238E27FC236}">
              <a16:creationId xmlns:a16="http://schemas.microsoft.com/office/drawing/2014/main" id="{00000000-0008-0000-0800-0000C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6" name="Text Box 160">
          <a:extLst>
            <a:ext uri="{FF2B5EF4-FFF2-40B4-BE49-F238E27FC236}">
              <a16:creationId xmlns:a16="http://schemas.microsoft.com/office/drawing/2014/main" id="{00000000-0008-0000-0800-0000C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7" name="Text Box 161">
          <a:extLst>
            <a:ext uri="{FF2B5EF4-FFF2-40B4-BE49-F238E27FC236}">
              <a16:creationId xmlns:a16="http://schemas.microsoft.com/office/drawing/2014/main" id="{00000000-0008-0000-0800-0000C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8" name="Text Box 162">
          <a:extLst>
            <a:ext uri="{FF2B5EF4-FFF2-40B4-BE49-F238E27FC236}">
              <a16:creationId xmlns:a16="http://schemas.microsoft.com/office/drawing/2014/main" id="{00000000-0008-0000-0800-0000C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9" name="Text Box 163">
          <a:extLst>
            <a:ext uri="{FF2B5EF4-FFF2-40B4-BE49-F238E27FC236}">
              <a16:creationId xmlns:a16="http://schemas.microsoft.com/office/drawing/2014/main" id="{00000000-0008-0000-0800-0000C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0" name="Text Box 164">
          <a:extLst>
            <a:ext uri="{FF2B5EF4-FFF2-40B4-BE49-F238E27FC236}">
              <a16:creationId xmlns:a16="http://schemas.microsoft.com/office/drawing/2014/main" id="{00000000-0008-0000-0800-0000C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1" name="Text Box 165">
          <a:extLst>
            <a:ext uri="{FF2B5EF4-FFF2-40B4-BE49-F238E27FC236}">
              <a16:creationId xmlns:a16="http://schemas.microsoft.com/office/drawing/2014/main" id="{00000000-0008-0000-0800-0000C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2" name="Text Box 166">
          <a:extLst>
            <a:ext uri="{FF2B5EF4-FFF2-40B4-BE49-F238E27FC236}">
              <a16:creationId xmlns:a16="http://schemas.microsoft.com/office/drawing/2014/main" id="{00000000-0008-0000-0800-0000C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3" name="Text Box 167">
          <a:extLst>
            <a:ext uri="{FF2B5EF4-FFF2-40B4-BE49-F238E27FC236}">
              <a16:creationId xmlns:a16="http://schemas.microsoft.com/office/drawing/2014/main" id="{00000000-0008-0000-0800-0000C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4" name="Text Box 168">
          <a:extLst>
            <a:ext uri="{FF2B5EF4-FFF2-40B4-BE49-F238E27FC236}">
              <a16:creationId xmlns:a16="http://schemas.microsoft.com/office/drawing/2014/main" id="{00000000-0008-0000-0800-0000C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5" name="Text Box 169">
          <a:extLst>
            <a:ext uri="{FF2B5EF4-FFF2-40B4-BE49-F238E27FC236}">
              <a16:creationId xmlns:a16="http://schemas.microsoft.com/office/drawing/2014/main" id="{00000000-0008-0000-0800-0000C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6" name="Text Box 170">
          <a:extLst>
            <a:ext uri="{FF2B5EF4-FFF2-40B4-BE49-F238E27FC236}">
              <a16:creationId xmlns:a16="http://schemas.microsoft.com/office/drawing/2014/main" id="{00000000-0008-0000-0800-0000C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7" name="Text Box 171">
          <a:extLst>
            <a:ext uri="{FF2B5EF4-FFF2-40B4-BE49-F238E27FC236}">
              <a16:creationId xmlns:a16="http://schemas.microsoft.com/office/drawing/2014/main" id="{00000000-0008-0000-0800-0000C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8" name="Text Box 172">
          <a:extLst>
            <a:ext uri="{FF2B5EF4-FFF2-40B4-BE49-F238E27FC236}">
              <a16:creationId xmlns:a16="http://schemas.microsoft.com/office/drawing/2014/main" id="{00000000-0008-0000-0800-0000D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9" name="Text Box 173">
          <a:extLst>
            <a:ext uri="{FF2B5EF4-FFF2-40B4-BE49-F238E27FC236}">
              <a16:creationId xmlns:a16="http://schemas.microsoft.com/office/drawing/2014/main" id="{00000000-0008-0000-0800-0000D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0" name="Text Box 174">
          <a:extLst>
            <a:ext uri="{FF2B5EF4-FFF2-40B4-BE49-F238E27FC236}">
              <a16:creationId xmlns:a16="http://schemas.microsoft.com/office/drawing/2014/main" id="{00000000-0008-0000-0800-0000D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1" name="Text Box 175">
          <a:extLst>
            <a:ext uri="{FF2B5EF4-FFF2-40B4-BE49-F238E27FC236}">
              <a16:creationId xmlns:a16="http://schemas.microsoft.com/office/drawing/2014/main" id="{00000000-0008-0000-0800-0000D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2" name="Text Box 176">
          <a:extLst>
            <a:ext uri="{FF2B5EF4-FFF2-40B4-BE49-F238E27FC236}">
              <a16:creationId xmlns:a16="http://schemas.microsoft.com/office/drawing/2014/main" id="{00000000-0008-0000-0800-0000D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3" name="Text Box 177">
          <a:extLst>
            <a:ext uri="{FF2B5EF4-FFF2-40B4-BE49-F238E27FC236}">
              <a16:creationId xmlns:a16="http://schemas.microsoft.com/office/drawing/2014/main" id="{00000000-0008-0000-0800-0000D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4" name="Text Box 178">
          <a:extLst>
            <a:ext uri="{FF2B5EF4-FFF2-40B4-BE49-F238E27FC236}">
              <a16:creationId xmlns:a16="http://schemas.microsoft.com/office/drawing/2014/main" id="{00000000-0008-0000-0800-0000D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5" name="Text Box 179">
          <a:extLst>
            <a:ext uri="{FF2B5EF4-FFF2-40B4-BE49-F238E27FC236}">
              <a16:creationId xmlns:a16="http://schemas.microsoft.com/office/drawing/2014/main" id="{00000000-0008-0000-0800-0000D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6" name="Text Box 180">
          <a:extLst>
            <a:ext uri="{FF2B5EF4-FFF2-40B4-BE49-F238E27FC236}">
              <a16:creationId xmlns:a16="http://schemas.microsoft.com/office/drawing/2014/main" id="{00000000-0008-0000-0800-0000D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7" name="Text Box 181">
          <a:extLst>
            <a:ext uri="{FF2B5EF4-FFF2-40B4-BE49-F238E27FC236}">
              <a16:creationId xmlns:a16="http://schemas.microsoft.com/office/drawing/2014/main" id="{00000000-0008-0000-0800-0000D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8" name="Text Box 182">
          <a:extLst>
            <a:ext uri="{FF2B5EF4-FFF2-40B4-BE49-F238E27FC236}">
              <a16:creationId xmlns:a16="http://schemas.microsoft.com/office/drawing/2014/main" id="{00000000-0008-0000-0800-0000D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9" name="Text Box 183">
          <a:extLst>
            <a:ext uri="{FF2B5EF4-FFF2-40B4-BE49-F238E27FC236}">
              <a16:creationId xmlns:a16="http://schemas.microsoft.com/office/drawing/2014/main" id="{00000000-0008-0000-0800-0000D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0" name="Text Box 184">
          <a:extLst>
            <a:ext uri="{FF2B5EF4-FFF2-40B4-BE49-F238E27FC236}">
              <a16:creationId xmlns:a16="http://schemas.microsoft.com/office/drawing/2014/main" id="{00000000-0008-0000-0800-0000D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1" name="Text Box 185">
          <a:extLst>
            <a:ext uri="{FF2B5EF4-FFF2-40B4-BE49-F238E27FC236}">
              <a16:creationId xmlns:a16="http://schemas.microsoft.com/office/drawing/2014/main" id="{00000000-0008-0000-0800-0000D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2" name="Text Box 186">
          <a:extLst>
            <a:ext uri="{FF2B5EF4-FFF2-40B4-BE49-F238E27FC236}">
              <a16:creationId xmlns:a16="http://schemas.microsoft.com/office/drawing/2014/main" id="{00000000-0008-0000-0800-0000D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3" name="Text Box 187">
          <a:extLst>
            <a:ext uri="{FF2B5EF4-FFF2-40B4-BE49-F238E27FC236}">
              <a16:creationId xmlns:a16="http://schemas.microsoft.com/office/drawing/2014/main" id="{00000000-0008-0000-0800-0000D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4" name="Text Box 188">
          <a:extLst>
            <a:ext uri="{FF2B5EF4-FFF2-40B4-BE49-F238E27FC236}">
              <a16:creationId xmlns:a16="http://schemas.microsoft.com/office/drawing/2014/main" id="{00000000-0008-0000-0800-0000E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5" name="Text Box 189">
          <a:extLst>
            <a:ext uri="{FF2B5EF4-FFF2-40B4-BE49-F238E27FC236}">
              <a16:creationId xmlns:a16="http://schemas.microsoft.com/office/drawing/2014/main" id="{00000000-0008-0000-0800-0000E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6" name="Text Box 190">
          <a:extLst>
            <a:ext uri="{FF2B5EF4-FFF2-40B4-BE49-F238E27FC236}">
              <a16:creationId xmlns:a16="http://schemas.microsoft.com/office/drawing/2014/main" id="{00000000-0008-0000-0800-0000E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7" name="Text Box 191">
          <a:extLst>
            <a:ext uri="{FF2B5EF4-FFF2-40B4-BE49-F238E27FC236}">
              <a16:creationId xmlns:a16="http://schemas.microsoft.com/office/drawing/2014/main" id="{00000000-0008-0000-0800-0000E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8" name="Text Box 192">
          <a:extLst>
            <a:ext uri="{FF2B5EF4-FFF2-40B4-BE49-F238E27FC236}">
              <a16:creationId xmlns:a16="http://schemas.microsoft.com/office/drawing/2014/main" id="{00000000-0008-0000-0800-0000E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9" name="Text Box 193">
          <a:extLst>
            <a:ext uri="{FF2B5EF4-FFF2-40B4-BE49-F238E27FC236}">
              <a16:creationId xmlns:a16="http://schemas.microsoft.com/office/drawing/2014/main" id="{00000000-0008-0000-0800-0000E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0" name="Text Box 194">
          <a:extLst>
            <a:ext uri="{FF2B5EF4-FFF2-40B4-BE49-F238E27FC236}">
              <a16:creationId xmlns:a16="http://schemas.microsoft.com/office/drawing/2014/main" id="{00000000-0008-0000-0800-0000E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1" name="Text Box 195">
          <a:extLst>
            <a:ext uri="{FF2B5EF4-FFF2-40B4-BE49-F238E27FC236}">
              <a16:creationId xmlns:a16="http://schemas.microsoft.com/office/drawing/2014/main" id="{00000000-0008-0000-0800-0000E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2" name="Text Box 196">
          <a:extLst>
            <a:ext uri="{FF2B5EF4-FFF2-40B4-BE49-F238E27FC236}">
              <a16:creationId xmlns:a16="http://schemas.microsoft.com/office/drawing/2014/main" id="{00000000-0008-0000-0800-0000E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3" name="Text Box 197">
          <a:extLst>
            <a:ext uri="{FF2B5EF4-FFF2-40B4-BE49-F238E27FC236}">
              <a16:creationId xmlns:a16="http://schemas.microsoft.com/office/drawing/2014/main" id="{00000000-0008-0000-0800-0000E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4" name="Text Box 198">
          <a:extLst>
            <a:ext uri="{FF2B5EF4-FFF2-40B4-BE49-F238E27FC236}">
              <a16:creationId xmlns:a16="http://schemas.microsoft.com/office/drawing/2014/main" id="{00000000-0008-0000-0800-0000E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5" name="Text Box 199">
          <a:extLst>
            <a:ext uri="{FF2B5EF4-FFF2-40B4-BE49-F238E27FC236}">
              <a16:creationId xmlns:a16="http://schemas.microsoft.com/office/drawing/2014/main" id="{00000000-0008-0000-0800-0000E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6" name="Text Box 200">
          <a:extLst>
            <a:ext uri="{FF2B5EF4-FFF2-40B4-BE49-F238E27FC236}">
              <a16:creationId xmlns:a16="http://schemas.microsoft.com/office/drawing/2014/main" id="{00000000-0008-0000-0800-0000E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7" name="Text Box 201">
          <a:extLst>
            <a:ext uri="{FF2B5EF4-FFF2-40B4-BE49-F238E27FC236}">
              <a16:creationId xmlns:a16="http://schemas.microsoft.com/office/drawing/2014/main" id="{00000000-0008-0000-0800-0000E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8" name="Text Box 202">
          <a:extLst>
            <a:ext uri="{FF2B5EF4-FFF2-40B4-BE49-F238E27FC236}">
              <a16:creationId xmlns:a16="http://schemas.microsoft.com/office/drawing/2014/main" id="{00000000-0008-0000-0800-0000E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39" name="Text Box 203">
          <a:extLst>
            <a:ext uri="{FF2B5EF4-FFF2-40B4-BE49-F238E27FC236}">
              <a16:creationId xmlns:a16="http://schemas.microsoft.com/office/drawing/2014/main" id="{00000000-0008-0000-0800-0000E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0" name="Text Box 204">
          <a:extLst>
            <a:ext uri="{FF2B5EF4-FFF2-40B4-BE49-F238E27FC236}">
              <a16:creationId xmlns:a16="http://schemas.microsoft.com/office/drawing/2014/main" id="{00000000-0008-0000-0800-0000F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1" name="Text Box 205">
          <a:extLst>
            <a:ext uri="{FF2B5EF4-FFF2-40B4-BE49-F238E27FC236}">
              <a16:creationId xmlns:a16="http://schemas.microsoft.com/office/drawing/2014/main" id="{00000000-0008-0000-0800-0000F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2" name="Text Box 206">
          <a:extLst>
            <a:ext uri="{FF2B5EF4-FFF2-40B4-BE49-F238E27FC236}">
              <a16:creationId xmlns:a16="http://schemas.microsoft.com/office/drawing/2014/main" id="{00000000-0008-0000-0800-0000F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3" name="Text Box 207">
          <a:extLst>
            <a:ext uri="{FF2B5EF4-FFF2-40B4-BE49-F238E27FC236}">
              <a16:creationId xmlns:a16="http://schemas.microsoft.com/office/drawing/2014/main" id="{00000000-0008-0000-0800-0000F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4" name="Text Box 208">
          <a:extLst>
            <a:ext uri="{FF2B5EF4-FFF2-40B4-BE49-F238E27FC236}">
              <a16:creationId xmlns:a16="http://schemas.microsoft.com/office/drawing/2014/main" id="{00000000-0008-0000-0800-0000F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5" name="Text Box 209">
          <a:extLst>
            <a:ext uri="{FF2B5EF4-FFF2-40B4-BE49-F238E27FC236}">
              <a16:creationId xmlns:a16="http://schemas.microsoft.com/office/drawing/2014/main" id="{00000000-0008-0000-0800-0000F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6" name="Text Box 210">
          <a:extLst>
            <a:ext uri="{FF2B5EF4-FFF2-40B4-BE49-F238E27FC236}">
              <a16:creationId xmlns:a16="http://schemas.microsoft.com/office/drawing/2014/main" id="{00000000-0008-0000-0800-0000F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7" name="Text Box 211">
          <a:extLst>
            <a:ext uri="{FF2B5EF4-FFF2-40B4-BE49-F238E27FC236}">
              <a16:creationId xmlns:a16="http://schemas.microsoft.com/office/drawing/2014/main" id="{00000000-0008-0000-0800-0000F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8" name="Text Box 212">
          <a:extLst>
            <a:ext uri="{FF2B5EF4-FFF2-40B4-BE49-F238E27FC236}">
              <a16:creationId xmlns:a16="http://schemas.microsoft.com/office/drawing/2014/main" id="{00000000-0008-0000-0800-0000F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9" name="Text Box 213">
          <a:extLst>
            <a:ext uri="{FF2B5EF4-FFF2-40B4-BE49-F238E27FC236}">
              <a16:creationId xmlns:a16="http://schemas.microsoft.com/office/drawing/2014/main" id="{00000000-0008-0000-0800-0000F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0" name="Text Box 214">
          <a:extLst>
            <a:ext uri="{FF2B5EF4-FFF2-40B4-BE49-F238E27FC236}">
              <a16:creationId xmlns:a16="http://schemas.microsoft.com/office/drawing/2014/main" id="{00000000-0008-0000-0800-0000F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1" name="Text Box 215">
          <a:extLst>
            <a:ext uri="{FF2B5EF4-FFF2-40B4-BE49-F238E27FC236}">
              <a16:creationId xmlns:a16="http://schemas.microsoft.com/office/drawing/2014/main" id="{00000000-0008-0000-0800-0000F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2" name="Text Box 216">
          <a:extLst>
            <a:ext uri="{FF2B5EF4-FFF2-40B4-BE49-F238E27FC236}">
              <a16:creationId xmlns:a16="http://schemas.microsoft.com/office/drawing/2014/main" id="{00000000-0008-0000-0800-0000F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3" name="Text Box 217">
          <a:extLst>
            <a:ext uri="{FF2B5EF4-FFF2-40B4-BE49-F238E27FC236}">
              <a16:creationId xmlns:a16="http://schemas.microsoft.com/office/drawing/2014/main" id="{00000000-0008-0000-0800-0000F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4" name="Text Box 218">
          <a:extLst>
            <a:ext uri="{FF2B5EF4-FFF2-40B4-BE49-F238E27FC236}">
              <a16:creationId xmlns:a16="http://schemas.microsoft.com/office/drawing/2014/main" id="{00000000-0008-0000-0800-0000F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5" name="Text Box 219">
          <a:extLst>
            <a:ext uri="{FF2B5EF4-FFF2-40B4-BE49-F238E27FC236}">
              <a16:creationId xmlns:a16="http://schemas.microsoft.com/office/drawing/2014/main" id="{00000000-0008-0000-0800-0000F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6" name="Text Box 220">
          <a:extLst>
            <a:ext uri="{FF2B5EF4-FFF2-40B4-BE49-F238E27FC236}">
              <a16:creationId xmlns:a16="http://schemas.microsoft.com/office/drawing/2014/main" id="{00000000-0008-0000-0800-00000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7" name="Text Box 221">
          <a:extLst>
            <a:ext uri="{FF2B5EF4-FFF2-40B4-BE49-F238E27FC236}">
              <a16:creationId xmlns:a16="http://schemas.microsoft.com/office/drawing/2014/main" id="{00000000-0008-0000-0800-00000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8" name="Text Box 222">
          <a:extLst>
            <a:ext uri="{FF2B5EF4-FFF2-40B4-BE49-F238E27FC236}">
              <a16:creationId xmlns:a16="http://schemas.microsoft.com/office/drawing/2014/main" id="{00000000-0008-0000-0800-00000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9" name="Text Box 223">
          <a:extLst>
            <a:ext uri="{FF2B5EF4-FFF2-40B4-BE49-F238E27FC236}">
              <a16:creationId xmlns:a16="http://schemas.microsoft.com/office/drawing/2014/main" id="{00000000-0008-0000-0800-00000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0" name="Text Box 224">
          <a:extLst>
            <a:ext uri="{FF2B5EF4-FFF2-40B4-BE49-F238E27FC236}">
              <a16:creationId xmlns:a16="http://schemas.microsoft.com/office/drawing/2014/main" id="{00000000-0008-0000-0800-00000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1" name="Text Box 225">
          <a:extLst>
            <a:ext uri="{FF2B5EF4-FFF2-40B4-BE49-F238E27FC236}">
              <a16:creationId xmlns:a16="http://schemas.microsoft.com/office/drawing/2014/main" id="{00000000-0008-0000-0800-00000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2" name="Text Box 226">
          <a:extLst>
            <a:ext uri="{FF2B5EF4-FFF2-40B4-BE49-F238E27FC236}">
              <a16:creationId xmlns:a16="http://schemas.microsoft.com/office/drawing/2014/main" id="{00000000-0008-0000-0800-00000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3" name="Text Box 227">
          <a:extLst>
            <a:ext uri="{FF2B5EF4-FFF2-40B4-BE49-F238E27FC236}">
              <a16:creationId xmlns:a16="http://schemas.microsoft.com/office/drawing/2014/main" id="{00000000-0008-0000-0800-00000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4" name="Text Box 228">
          <a:extLst>
            <a:ext uri="{FF2B5EF4-FFF2-40B4-BE49-F238E27FC236}">
              <a16:creationId xmlns:a16="http://schemas.microsoft.com/office/drawing/2014/main" id="{00000000-0008-0000-0800-00000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5" name="Text Box 229">
          <a:extLst>
            <a:ext uri="{FF2B5EF4-FFF2-40B4-BE49-F238E27FC236}">
              <a16:creationId xmlns:a16="http://schemas.microsoft.com/office/drawing/2014/main" id="{00000000-0008-0000-0800-00000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6" name="Text Box 230">
          <a:extLst>
            <a:ext uri="{FF2B5EF4-FFF2-40B4-BE49-F238E27FC236}">
              <a16:creationId xmlns:a16="http://schemas.microsoft.com/office/drawing/2014/main" id="{00000000-0008-0000-0800-00000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7" name="Text Box 231">
          <a:extLst>
            <a:ext uri="{FF2B5EF4-FFF2-40B4-BE49-F238E27FC236}">
              <a16:creationId xmlns:a16="http://schemas.microsoft.com/office/drawing/2014/main" id="{00000000-0008-0000-0800-00000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8" name="Text Box 232">
          <a:extLst>
            <a:ext uri="{FF2B5EF4-FFF2-40B4-BE49-F238E27FC236}">
              <a16:creationId xmlns:a16="http://schemas.microsoft.com/office/drawing/2014/main" id="{00000000-0008-0000-0800-00000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9" name="Text Box 233">
          <a:extLst>
            <a:ext uri="{FF2B5EF4-FFF2-40B4-BE49-F238E27FC236}">
              <a16:creationId xmlns:a16="http://schemas.microsoft.com/office/drawing/2014/main" id="{00000000-0008-0000-0800-00000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0" name="Text Box 234">
          <a:extLst>
            <a:ext uri="{FF2B5EF4-FFF2-40B4-BE49-F238E27FC236}">
              <a16:creationId xmlns:a16="http://schemas.microsoft.com/office/drawing/2014/main" id="{00000000-0008-0000-0800-00000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1" name="Text Box 235">
          <a:extLst>
            <a:ext uri="{FF2B5EF4-FFF2-40B4-BE49-F238E27FC236}">
              <a16:creationId xmlns:a16="http://schemas.microsoft.com/office/drawing/2014/main" id="{00000000-0008-0000-0800-00000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2" name="Text Box 236">
          <a:extLst>
            <a:ext uri="{FF2B5EF4-FFF2-40B4-BE49-F238E27FC236}">
              <a16:creationId xmlns:a16="http://schemas.microsoft.com/office/drawing/2014/main" id="{00000000-0008-0000-0800-00001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3" name="Text Box 237">
          <a:extLst>
            <a:ext uri="{FF2B5EF4-FFF2-40B4-BE49-F238E27FC236}">
              <a16:creationId xmlns:a16="http://schemas.microsoft.com/office/drawing/2014/main" id="{00000000-0008-0000-0800-00001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4" name="Text Box 238">
          <a:extLst>
            <a:ext uri="{FF2B5EF4-FFF2-40B4-BE49-F238E27FC236}">
              <a16:creationId xmlns:a16="http://schemas.microsoft.com/office/drawing/2014/main" id="{00000000-0008-0000-0800-00001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5" name="Text Box 239">
          <a:extLst>
            <a:ext uri="{FF2B5EF4-FFF2-40B4-BE49-F238E27FC236}">
              <a16:creationId xmlns:a16="http://schemas.microsoft.com/office/drawing/2014/main" id="{00000000-0008-0000-0800-00001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6" name="Text Box 240">
          <a:extLst>
            <a:ext uri="{FF2B5EF4-FFF2-40B4-BE49-F238E27FC236}">
              <a16:creationId xmlns:a16="http://schemas.microsoft.com/office/drawing/2014/main" id="{00000000-0008-0000-0800-00001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7" name="Text Box 241">
          <a:extLst>
            <a:ext uri="{FF2B5EF4-FFF2-40B4-BE49-F238E27FC236}">
              <a16:creationId xmlns:a16="http://schemas.microsoft.com/office/drawing/2014/main" id="{00000000-0008-0000-0800-00001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8" name="Text Box 242">
          <a:extLst>
            <a:ext uri="{FF2B5EF4-FFF2-40B4-BE49-F238E27FC236}">
              <a16:creationId xmlns:a16="http://schemas.microsoft.com/office/drawing/2014/main" id="{00000000-0008-0000-0800-00001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9" name="Text Box 243">
          <a:extLst>
            <a:ext uri="{FF2B5EF4-FFF2-40B4-BE49-F238E27FC236}">
              <a16:creationId xmlns:a16="http://schemas.microsoft.com/office/drawing/2014/main" id="{00000000-0008-0000-0800-00001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0" name="Text Box 244">
          <a:extLst>
            <a:ext uri="{FF2B5EF4-FFF2-40B4-BE49-F238E27FC236}">
              <a16:creationId xmlns:a16="http://schemas.microsoft.com/office/drawing/2014/main" id="{00000000-0008-0000-0800-00001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1" name="Text Box 245">
          <a:extLst>
            <a:ext uri="{FF2B5EF4-FFF2-40B4-BE49-F238E27FC236}">
              <a16:creationId xmlns:a16="http://schemas.microsoft.com/office/drawing/2014/main" id="{00000000-0008-0000-0800-00001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2" name="Text Box 246">
          <a:extLst>
            <a:ext uri="{FF2B5EF4-FFF2-40B4-BE49-F238E27FC236}">
              <a16:creationId xmlns:a16="http://schemas.microsoft.com/office/drawing/2014/main" id="{00000000-0008-0000-0800-00001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3" name="Text Box 247">
          <a:extLst>
            <a:ext uri="{FF2B5EF4-FFF2-40B4-BE49-F238E27FC236}">
              <a16:creationId xmlns:a16="http://schemas.microsoft.com/office/drawing/2014/main" id="{00000000-0008-0000-0800-00001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4" name="Text Box 248">
          <a:extLst>
            <a:ext uri="{FF2B5EF4-FFF2-40B4-BE49-F238E27FC236}">
              <a16:creationId xmlns:a16="http://schemas.microsoft.com/office/drawing/2014/main" id="{00000000-0008-0000-0800-00001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5" name="Text Box 249">
          <a:extLst>
            <a:ext uri="{FF2B5EF4-FFF2-40B4-BE49-F238E27FC236}">
              <a16:creationId xmlns:a16="http://schemas.microsoft.com/office/drawing/2014/main" id="{00000000-0008-0000-0800-00001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6" name="Text Box 250">
          <a:extLst>
            <a:ext uri="{FF2B5EF4-FFF2-40B4-BE49-F238E27FC236}">
              <a16:creationId xmlns:a16="http://schemas.microsoft.com/office/drawing/2014/main" id="{00000000-0008-0000-0800-00001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7" name="Text Box 251">
          <a:extLst>
            <a:ext uri="{FF2B5EF4-FFF2-40B4-BE49-F238E27FC236}">
              <a16:creationId xmlns:a16="http://schemas.microsoft.com/office/drawing/2014/main" id="{00000000-0008-0000-0800-00001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8" name="Text Box 252">
          <a:extLst>
            <a:ext uri="{FF2B5EF4-FFF2-40B4-BE49-F238E27FC236}">
              <a16:creationId xmlns:a16="http://schemas.microsoft.com/office/drawing/2014/main" id="{00000000-0008-0000-0800-00002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9" name="Text Box 253">
          <a:extLst>
            <a:ext uri="{FF2B5EF4-FFF2-40B4-BE49-F238E27FC236}">
              <a16:creationId xmlns:a16="http://schemas.microsoft.com/office/drawing/2014/main" id="{00000000-0008-0000-0800-00002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0" name="Text Box 254">
          <a:extLst>
            <a:ext uri="{FF2B5EF4-FFF2-40B4-BE49-F238E27FC236}">
              <a16:creationId xmlns:a16="http://schemas.microsoft.com/office/drawing/2014/main" id="{00000000-0008-0000-0800-00002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1" name="Text Box 255">
          <a:extLst>
            <a:ext uri="{FF2B5EF4-FFF2-40B4-BE49-F238E27FC236}">
              <a16:creationId xmlns:a16="http://schemas.microsoft.com/office/drawing/2014/main" id="{00000000-0008-0000-0800-00002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2" name="Text Box 256">
          <a:extLst>
            <a:ext uri="{FF2B5EF4-FFF2-40B4-BE49-F238E27FC236}">
              <a16:creationId xmlns:a16="http://schemas.microsoft.com/office/drawing/2014/main" id="{00000000-0008-0000-0800-00002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3" name="Text Box 257">
          <a:extLst>
            <a:ext uri="{FF2B5EF4-FFF2-40B4-BE49-F238E27FC236}">
              <a16:creationId xmlns:a16="http://schemas.microsoft.com/office/drawing/2014/main" id="{00000000-0008-0000-0800-00002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4" name="Text Box 258">
          <a:extLst>
            <a:ext uri="{FF2B5EF4-FFF2-40B4-BE49-F238E27FC236}">
              <a16:creationId xmlns:a16="http://schemas.microsoft.com/office/drawing/2014/main" id="{00000000-0008-0000-0800-00002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5" name="Text Box 259">
          <a:extLst>
            <a:ext uri="{FF2B5EF4-FFF2-40B4-BE49-F238E27FC236}">
              <a16:creationId xmlns:a16="http://schemas.microsoft.com/office/drawing/2014/main" id="{00000000-0008-0000-0800-00002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6" name="Text Box 260">
          <a:extLst>
            <a:ext uri="{FF2B5EF4-FFF2-40B4-BE49-F238E27FC236}">
              <a16:creationId xmlns:a16="http://schemas.microsoft.com/office/drawing/2014/main" id="{00000000-0008-0000-0800-00002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7" name="Text Box 261">
          <a:extLst>
            <a:ext uri="{FF2B5EF4-FFF2-40B4-BE49-F238E27FC236}">
              <a16:creationId xmlns:a16="http://schemas.microsoft.com/office/drawing/2014/main" id="{00000000-0008-0000-0800-00002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8" name="Text Box 262">
          <a:extLst>
            <a:ext uri="{FF2B5EF4-FFF2-40B4-BE49-F238E27FC236}">
              <a16:creationId xmlns:a16="http://schemas.microsoft.com/office/drawing/2014/main" id="{00000000-0008-0000-0800-00002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9" name="Text Box 263">
          <a:extLst>
            <a:ext uri="{FF2B5EF4-FFF2-40B4-BE49-F238E27FC236}">
              <a16:creationId xmlns:a16="http://schemas.microsoft.com/office/drawing/2014/main" id="{00000000-0008-0000-0800-00002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0" name="Text Box 264">
          <a:extLst>
            <a:ext uri="{FF2B5EF4-FFF2-40B4-BE49-F238E27FC236}">
              <a16:creationId xmlns:a16="http://schemas.microsoft.com/office/drawing/2014/main" id="{00000000-0008-0000-0800-00002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1" name="Text Box 265">
          <a:extLst>
            <a:ext uri="{FF2B5EF4-FFF2-40B4-BE49-F238E27FC236}">
              <a16:creationId xmlns:a16="http://schemas.microsoft.com/office/drawing/2014/main" id="{00000000-0008-0000-0800-00002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2" name="Text Box 266">
          <a:extLst>
            <a:ext uri="{FF2B5EF4-FFF2-40B4-BE49-F238E27FC236}">
              <a16:creationId xmlns:a16="http://schemas.microsoft.com/office/drawing/2014/main" id="{00000000-0008-0000-0800-00002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3" name="Text Box 267">
          <a:extLst>
            <a:ext uri="{FF2B5EF4-FFF2-40B4-BE49-F238E27FC236}">
              <a16:creationId xmlns:a16="http://schemas.microsoft.com/office/drawing/2014/main" id="{00000000-0008-0000-0800-00002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4" name="Text Box 268">
          <a:extLst>
            <a:ext uri="{FF2B5EF4-FFF2-40B4-BE49-F238E27FC236}">
              <a16:creationId xmlns:a16="http://schemas.microsoft.com/office/drawing/2014/main" id="{00000000-0008-0000-0800-00003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5" name="Text Box 269">
          <a:extLst>
            <a:ext uri="{FF2B5EF4-FFF2-40B4-BE49-F238E27FC236}">
              <a16:creationId xmlns:a16="http://schemas.microsoft.com/office/drawing/2014/main" id="{00000000-0008-0000-0800-00003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6" name="Text Box 270">
          <a:extLst>
            <a:ext uri="{FF2B5EF4-FFF2-40B4-BE49-F238E27FC236}">
              <a16:creationId xmlns:a16="http://schemas.microsoft.com/office/drawing/2014/main" id="{00000000-0008-0000-0800-00003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7" name="Text Box 271">
          <a:extLst>
            <a:ext uri="{FF2B5EF4-FFF2-40B4-BE49-F238E27FC236}">
              <a16:creationId xmlns:a16="http://schemas.microsoft.com/office/drawing/2014/main" id="{00000000-0008-0000-0800-00003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8" name="Text Box 272">
          <a:extLst>
            <a:ext uri="{FF2B5EF4-FFF2-40B4-BE49-F238E27FC236}">
              <a16:creationId xmlns:a16="http://schemas.microsoft.com/office/drawing/2014/main" id="{00000000-0008-0000-0800-00003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9" name="Text Box 273">
          <a:extLst>
            <a:ext uri="{FF2B5EF4-FFF2-40B4-BE49-F238E27FC236}">
              <a16:creationId xmlns:a16="http://schemas.microsoft.com/office/drawing/2014/main" id="{00000000-0008-0000-0800-00003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0" name="Text Box 274">
          <a:extLst>
            <a:ext uri="{FF2B5EF4-FFF2-40B4-BE49-F238E27FC236}">
              <a16:creationId xmlns:a16="http://schemas.microsoft.com/office/drawing/2014/main" id="{00000000-0008-0000-0800-00003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1" name="Text Box 275">
          <a:extLst>
            <a:ext uri="{FF2B5EF4-FFF2-40B4-BE49-F238E27FC236}">
              <a16:creationId xmlns:a16="http://schemas.microsoft.com/office/drawing/2014/main" id="{00000000-0008-0000-0800-00003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2" name="Text Box 276">
          <a:extLst>
            <a:ext uri="{FF2B5EF4-FFF2-40B4-BE49-F238E27FC236}">
              <a16:creationId xmlns:a16="http://schemas.microsoft.com/office/drawing/2014/main" id="{00000000-0008-0000-0800-00003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3" name="Text Box 277">
          <a:extLst>
            <a:ext uri="{FF2B5EF4-FFF2-40B4-BE49-F238E27FC236}">
              <a16:creationId xmlns:a16="http://schemas.microsoft.com/office/drawing/2014/main" id="{00000000-0008-0000-0800-00003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4" name="Text Box 278">
          <a:extLst>
            <a:ext uri="{FF2B5EF4-FFF2-40B4-BE49-F238E27FC236}">
              <a16:creationId xmlns:a16="http://schemas.microsoft.com/office/drawing/2014/main" id="{00000000-0008-0000-0800-00003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5" name="Text Box 279">
          <a:extLst>
            <a:ext uri="{FF2B5EF4-FFF2-40B4-BE49-F238E27FC236}">
              <a16:creationId xmlns:a16="http://schemas.microsoft.com/office/drawing/2014/main" id="{00000000-0008-0000-0800-00003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6" name="Text Box 280">
          <a:extLst>
            <a:ext uri="{FF2B5EF4-FFF2-40B4-BE49-F238E27FC236}">
              <a16:creationId xmlns:a16="http://schemas.microsoft.com/office/drawing/2014/main" id="{00000000-0008-0000-0800-00003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7" name="Text Box 281">
          <a:extLst>
            <a:ext uri="{FF2B5EF4-FFF2-40B4-BE49-F238E27FC236}">
              <a16:creationId xmlns:a16="http://schemas.microsoft.com/office/drawing/2014/main" id="{00000000-0008-0000-0800-00003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8" name="Text Box 282">
          <a:extLst>
            <a:ext uri="{FF2B5EF4-FFF2-40B4-BE49-F238E27FC236}">
              <a16:creationId xmlns:a16="http://schemas.microsoft.com/office/drawing/2014/main" id="{00000000-0008-0000-0800-00003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9" name="Text Box 283">
          <a:extLst>
            <a:ext uri="{FF2B5EF4-FFF2-40B4-BE49-F238E27FC236}">
              <a16:creationId xmlns:a16="http://schemas.microsoft.com/office/drawing/2014/main" id="{00000000-0008-0000-0800-00003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0" name="Text Box 284">
          <a:extLst>
            <a:ext uri="{FF2B5EF4-FFF2-40B4-BE49-F238E27FC236}">
              <a16:creationId xmlns:a16="http://schemas.microsoft.com/office/drawing/2014/main" id="{00000000-0008-0000-0800-00004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1" name="Text Box 285">
          <a:extLst>
            <a:ext uri="{FF2B5EF4-FFF2-40B4-BE49-F238E27FC236}">
              <a16:creationId xmlns:a16="http://schemas.microsoft.com/office/drawing/2014/main" id="{00000000-0008-0000-0800-00004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2" name="Text Box 286">
          <a:extLst>
            <a:ext uri="{FF2B5EF4-FFF2-40B4-BE49-F238E27FC236}">
              <a16:creationId xmlns:a16="http://schemas.microsoft.com/office/drawing/2014/main" id="{00000000-0008-0000-0800-00004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3" name="Text Box 287">
          <a:extLst>
            <a:ext uri="{FF2B5EF4-FFF2-40B4-BE49-F238E27FC236}">
              <a16:creationId xmlns:a16="http://schemas.microsoft.com/office/drawing/2014/main" id="{00000000-0008-0000-0800-00004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4" name="Text Box 288">
          <a:extLst>
            <a:ext uri="{FF2B5EF4-FFF2-40B4-BE49-F238E27FC236}">
              <a16:creationId xmlns:a16="http://schemas.microsoft.com/office/drawing/2014/main" id="{00000000-0008-0000-0800-00004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5" name="Text Box 289">
          <a:extLst>
            <a:ext uri="{FF2B5EF4-FFF2-40B4-BE49-F238E27FC236}">
              <a16:creationId xmlns:a16="http://schemas.microsoft.com/office/drawing/2014/main" id="{00000000-0008-0000-0800-00004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6" name="Text Box 290">
          <a:extLst>
            <a:ext uri="{FF2B5EF4-FFF2-40B4-BE49-F238E27FC236}">
              <a16:creationId xmlns:a16="http://schemas.microsoft.com/office/drawing/2014/main" id="{00000000-0008-0000-0800-00004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7" name="Text Box 291">
          <a:extLst>
            <a:ext uri="{FF2B5EF4-FFF2-40B4-BE49-F238E27FC236}">
              <a16:creationId xmlns:a16="http://schemas.microsoft.com/office/drawing/2014/main" id="{00000000-0008-0000-0800-00004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8" name="Text Box 292">
          <a:extLst>
            <a:ext uri="{FF2B5EF4-FFF2-40B4-BE49-F238E27FC236}">
              <a16:creationId xmlns:a16="http://schemas.microsoft.com/office/drawing/2014/main" id="{00000000-0008-0000-0800-00004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9" name="Text Box 293">
          <a:extLst>
            <a:ext uri="{FF2B5EF4-FFF2-40B4-BE49-F238E27FC236}">
              <a16:creationId xmlns:a16="http://schemas.microsoft.com/office/drawing/2014/main" id="{00000000-0008-0000-0800-00004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0" name="Text Box 294">
          <a:extLst>
            <a:ext uri="{FF2B5EF4-FFF2-40B4-BE49-F238E27FC236}">
              <a16:creationId xmlns:a16="http://schemas.microsoft.com/office/drawing/2014/main" id="{00000000-0008-0000-0800-00004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1" name="Text Box 295">
          <a:extLst>
            <a:ext uri="{FF2B5EF4-FFF2-40B4-BE49-F238E27FC236}">
              <a16:creationId xmlns:a16="http://schemas.microsoft.com/office/drawing/2014/main" id="{00000000-0008-0000-0800-00004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2" name="Text Box 296">
          <a:extLst>
            <a:ext uri="{FF2B5EF4-FFF2-40B4-BE49-F238E27FC236}">
              <a16:creationId xmlns:a16="http://schemas.microsoft.com/office/drawing/2014/main" id="{00000000-0008-0000-0800-00004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3" name="Text Box 297">
          <a:extLst>
            <a:ext uri="{FF2B5EF4-FFF2-40B4-BE49-F238E27FC236}">
              <a16:creationId xmlns:a16="http://schemas.microsoft.com/office/drawing/2014/main" id="{00000000-0008-0000-0800-00004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4" name="Text Box 298">
          <a:extLst>
            <a:ext uri="{FF2B5EF4-FFF2-40B4-BE49-F238E27FC236}">
              <a16:creationId xmlns:a16="http://schemas.microsoft.com/office/drawing/2014/main" id="{00000000-0008-0000-0800-00004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5" name="Text Box 299">
          <a:extLst>
            <a:ext uri="{FF2B5EF4-FFF2-40B4-BE49-F238E27FC236}">
              <a16:creationId xmlns:a16="http://schemas.microsoft.com/office/drawing/2014/main" id="{00000000-0008-0000-0800-00004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6" name="Text Box 300">
          <a:extLst>
            <a:ext uri="{FF2B5EF4-FFF2-40B4-BE49-F238E27FC236}">
              <a16:creationId xmlns:a16="http://schemas.microsoft.com/office/drawing/2014/main" id="{00000000-0008-0000-0800-00005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7" name="Text Box 301">
          <a:extLst>
            <a:ext uri="{FF2B5EF4-FFF2-40B4-BE49-F238E27FC236}">
              <a16:creationId xmlns:a16="http://schemas.microsoft.com/office/drawing/2014/main" id="{00000000-0008-0000-0800-00005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8" name="Text Box 302">
          <a:extLst>
            <a:ext uri="{FF2B5EF4-FFF2-40B4-BE49-F238E27FC236}">
              <a16:creationId xmlns:a16="http://schemas.microsoft.com/office/drawing/2014/main" id="{00000000-0008-0000-0800-00005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9" name="Text Box 303">
          <a:extLst>
            <a:ext uri="{FF2B5EF4-FFF2-40B4-BE49-F238E27FC236}">
              <a16:creationId xmlns:a16="http://schemas.microsoft.com/office/drawing/2014/main" id="{00000000-0008-0000-0800-00005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0" name="Text Box 304">
          <a:extLst>
            <a:ext uri="{FF2B5EF4-FFF2-40B4-BE49-F238E27FC236}">
              <a16:creationId xmlns:a16="http://schemas.microsoft.com/office/drawing/2014/main" id="{00000000-0008-0000-0800-00005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1" name="Text Box 305">
          <a:extLst>
            <a:ext uri="{FF2B5EF4-FFF2-40B4-BE49-F238E27FC236}">
              <a16:creationId xmlns:a16="http://schemas.microsoft.com/office/drawing/2014/main" id="{00000000-0008-0000-0800-00005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2" name="Text Box 306">
          <a:extLst>
            <a:ext uri="{FF2B5EF4-FFF2-40B4-BE49-F238E27FC236}">
              <a16:creationId xmlns:a16="http://schemas.microsoft.com/office/drawing/2014/main" id="{00000000-0008-0000-0800-00005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3" name="Text Box 307">
          <a:extLst>
            <a:ext uri="{FF2B5EF4-FFF2-40B4-BE49-F238E27FC236}">
              <a16:creationId xmlns:a16="http://schemas.microsoft.com/office/drawing/2014/main" id="{00000000-0008-0000-0800-00005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4" name="Text Box 308">
          <a:extLst>
            <a:ext uri="{FF2B5EF4-FFF2-40B4-BE49-F238E27FC236}">
              <a16:creationId xmlns:a16="http://schemas.microsoft.com/office/drawing/2014/main" id="{00000000-0008-0000-0800-00005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5" name="Text Box 309">
          <a:extLst>
            <a:ext uri="{FF2B5EF4-FFF2-40B4-BE49-F238E27FC236}">
              <a16:creationId xmlns:a16="http://schemas.microsoft.com/office/drawing/2014/main" id="{00000000-0008-0000-0800-00005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6" name="Text Box 310">
          <a:extLst>
            <a:ext uri="{FF2B5EF4-FFF2-40B4-BE49-F238E27FC236}">
              <a16:creationId xmlns:a16="http://schemas.microsoft.com/office/drawing/2014/main" id="{00000000-0008-0000-0800-00005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7" name="Text Box 311">
          <a:extLst>
            <a:ext uri="{FF2B5EF4-FFF2-40B4-BE49-F238E27FC236}">
              <a16:creationId xmlns:a16="http://schemas.microsoft.com/office/drawing/2014/main" id="{00000000-0008-0000-0800-00005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8" name="Text Box 312">
          <a:extLst>
            <a:ext uri="{FF2B5EF4-FFF2-40B4-BE49-F238E27FC236}">
              <a16:creationId xmlns:a16="http://schemas.microsoft.com/office/drawing/2014/main" id="{00000000-0008-0000-0800-00005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9" name="Text Box 313">
          <a:extLst>
            <a:ext uri="{FF2B5EF4-FFF2-40B4-BE49-F238E27FC236}">
              <a16:creationId xmlns:a16="http://schemas.microsoft.com/office/drawing/2014/main" id="{00000000-0008-0000-0800-00005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0" name="Text Box 314">
          <a:extLst>
            <a:ext uri="{FF2B5EF4-FFF2-40B4-BE49-F238E27FC236}">
              <a16:creationId xmlns:a16="http://schemas.microsoft.com/office/drawing/2014/main" id="{00000000-0008-0000-0800-00005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1" name="Text Box 315">
          <a:extLst>
            <a:ext uri="{FF2B5EF4-FFF2-40B4-BE49-F238E27FC236}">
              <a16:creationId xmlns:a16="http://schemas.microsoft.com/office/drawing/2014/main" id="{00000000-0008-0000-0800-00005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2" name="Text Box 316">
          <a:extLst>
            <a:ext uri="{FF2B5EF4-FFF2-40B4-BE49-F238E27FC236}">
              <a16:creationId xmlns:a16="http://schemas.microsoft.com/office/drawing/2014/main" id="{00000000-0008-0000-0800-00006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3" name="Text Box 317">
          <a:extLst>
            <a:ext uri="{FF2B5EF4-FFF2-40B4-BE49-F238E27FC236}">
              <a16:creationId xmlns:a16="http://schemas.microsoft.com/office/drawing/2014/main" id="{00000000-0008-0000-0800-00006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4" name="Text Box 318">
          <a:extLst>
            <a:ext uri="{FF2B5EF4-FFF2-40B4-BE49-F238E27FC236}">
              <a16:creationId xmlns:a16="http://schemas.microsoft.com/office/drawing/2014/main" id="{00000000-0008-0000-0800-00006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5" name="Text Box 319">
          <a:extLst>
            <a:ext uri="{FF2B5EF4-FFF2-40B4-BE49-F238E27FC236}">
              <a16:creationId xmlns:a16="http://schemas.microsoft.com/office/drawing/2014/main" id="{00000000-0008-0000-0800-00006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6" name="Text Box 320">
          <a:extLst>
            <a:ext uri="{FF2B5EF4-FFF2-40B4-BE49-F238E27FC236}">
              <a16:creationId xmlns:a16="http://schemas.microsoft.com/office/drawing/2014/main" id="{00000000-0008-0000-0800-00006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7" name="Text Box 28">
          <a:extLst>
            <a:ext uri="{FF2B5EF4-FFF2-40B4-BE49-F238E27FC236}">
              <a16:creationId xmlns:a16="http://schemas.microsoft.com/office/drawing/2014/main" id="{00000000-0008-0000-0800-00006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8" name="Text Box 29">
          <a:extLst>
            <a:ext uri="{FF2B5EF4-FFF2-40B4-BE49-F238E27FC236}">
              <a16:creationId xmlns:a16="http://schemas.microsoft.com/office/drawing/2014/main" id="{00000000-0008-0000-0800-00006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9" name="Text Box 30">
          <a:extLst>
            <a:ext uri="{FF2B5EF4-FFF2-40B4-BE49-F238E27FC236}">
              <a16:creationId xmlns:a16="http://schemas.microsoft.com/office/drawing/2014/main" id="{00000000-0008-0000-0800-00006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0" name="Text Box 31">
          <a:extLst>
            <a:ext uri="{FF2B5EF4-FFF2-40B4-BE49-F238E27FC236}">
              <a16:creationId xmlns:a16="http://schemas.microsoft.com/office/drawing/2014/main" id="{00000000-0008-0000-0800-00006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1" name="Text Box 32">
          <a:extLst>
            <a:ext uri="{FF2B5EF4-FFF2-40B4-BE49-F238E27FC236}">
              <a16:creationId xmlns:a16="http://schemas.microsoft.com/office/drawing/2014/main" id="{00000000-0008-0000-0800-00006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2" name="Text Box 33">
          <a:extLst>
            <a:ext uri="{FF2B5EF4-FFF2-40B4-BE49-F238E27FC236}">
              <a16:creationId xmlns:a16="http://schemas.microsoft.com/office/drawing/2014/main" id="{00000000-0008-0000-0800-00006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3" name="Text Box 34">
          <a:extLst>
            <a:ext uri="{FF2B5EF4-FFF2-40B4-BE49-F238E27FC236}">
              <a16:creationId xmlns:a16="http://schemas.microsoft.com/office/drawing/2014/main" id="{00000000-0008-0000-0800-00006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4" name="Text Box 35">
          <a:extLst>
            <a:ext uri="{FF2B5EF4-FFF2-40B4-BE49-F238E27FC236}">
              <a16:creationId xmlns:a16="http://schemas.microsoft.com/office/drawing/2014/main" id="{00000000-0008-0000-0800-00006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5" name="Text Box 36">
          <a:extLst>
            <a:ext uri="{FF2B5EF4-FFF2-40B4-BE49-F238E27FC236}">
              <a16:creationId xmlns:a16="http://schemas.microsoft.com/office/drawing/2014/main" id="{00000000-0008-0000-0800-00006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6" name="Text Box 37">
          <a:extLst>
            <a:ext uri="{FF2B5EF4-FFF2-40B4-BE49-F238E27FC236}">
              <a16:creationId xmlns:a16="http://schemas.microsoft.com/office/drawing/2014/main" id="{00000000-0008-0000-0800-00006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7" name="Text Box 38">
          <a:extLst>
            <a:ext uri="{FF2B5EF4-FFF2-40B4-BE49-F238E27FC236}">
              <a16:creationId xmlns:a16="http://schemas.microsoft.com/office/drawing/2014/main" id="{00000000-0008-0000-0800-00006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8" name="Text Box 39">
          <a:extLst>
            <a:ext uri="{FF2B5EF4-FFF2-40B4-BE49-F238E27FC236}">
              <a16:creationId xmlns:a16="http://schemas.microsoft.com/office/drawing/2014/main" id="{00000000-0008-0000-0800-00007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9" name="Text Box 40">
          <a:extLst>
            <a:ext uri="{FF2B5EF4-FFF2-40B4-BE49-F238E27FC236}">
              <a16:creationId xmlns:a16="http://schemas.microsoft.com/office/drawing/2014/main" id="{00000000-0008-0000-0800-00007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0" name="Text Box 41">
          <a:extLst>
            <a:ext uri="{FF2B5EF4-FFF2-40B4-BE49-F238E27FC236}">
              <a16:creationId xmlns:a16="http://schemas.microsoft.com/office/drawing/2014/main" id="{00000000-0008-0000-0800-00007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1" name="Text Box 42">
          <a:extLst>
            <a:ext uri="{FF2B5EF4-FFF2-40B4-BE49-F238E27FC236}">
              <a16:creationId xmlns:a16="http://schemas.microsoft.com/office/drawing/2014/main" id="{00000000-0008-0000-0800-00007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2" name="Text Box 43">
          <a:extLst>
            <a:ext uri="{FF2B5EF4-FFF2-40B4-BE49-F238E27FC236}">
              <a16:creationId xmlns:a16="http://schemas.microsoft.com/office/drawing/2014/main" id="{00000000-0008-0000-0800-00007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3" name="Text Box 44">
          <a:extLst>
            <a:ext uri="{FF2B5EF4-FFF2-40B4-BE49-F238E27FC236}">
              <a16:creationId xmlns:a16="http://schemas.microsoft.com/office/drawing/2014/main" id="{00000000-0008-0000-0800-00007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4" name="Text Box 45">
          <a:extLst>
            <a:ext uri="{FF2B5EF4-FFF2-40B4-BE49-F238E27FC236}">
              <a16:creationId xmlns:a16="http://schemas.microsoft.com/office/drawing/2014/main" id="{00000000-0008-0000-0800-00007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5" name="Text Box 46">
          <a:extLst>
            <a:ext uri="{FF2B5EF4-FFF2-40B4-BE49-F238E27FC236}">
              <a16:creationId xmlns:a16="http://schemas.microsoft.com/office/drawing/2014/main" id="{00000000-0008-0000-0800-00007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6" name="Text Box 47">
          <a:extLst>
            <a:ext uri="{FF2B5EF4-FFF2-40B4-BE49-F238E27FC236}">
              <a16:creationId xmlns:a16="http://schemas.microsoft.com/office/drawing/2014/main" id="{00000000-0008-0000-0800-00007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7" name="Text Box 48">
          <a:extLst>
            <a:ext uri="{FF2B5EF4-FFF2-40B4-BE49-F238E27FC236}">
              <a16:creationId xmlns:a16="http://schemas.microsoft.com/office/drawing/2014/main" id="{00000000-0008-0000-0800-00007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8" name="Text Box 49">
          <a:extLst>
            <a:ext uri="{FF2B5EF4-FFF2-40B4-BE49-F238E27FC236}">
              <a16:creationId xmlns:a16="http://schemas.microsoft.com/office/drawing/2014/main" id="{00000000-0008-0000-0800-00007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9" name="Text Box 50">
          <a:extLst>
            <a:ext uri="{FF2B5EF4-FFF2-40B4-BE49-F238E27FC236}">
              <a16:creationId xmlns:a16="http://schemas.microsoft.com/office/drawing/2014/main" id="{00000000-0008-0000-0800-00007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0" name="Text Box 51">
          <a:extLst>
            <a:ext uri="{FF2B5EF4-FFF2-40B4-BE49-F238E27FC236}">
              <a16:creationId xmlns:a16="http://schemas.microsoft.com/office/drawing/2014/main" id="{00000000-0008-0000-0800-00007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1" name="Text Box 52">
          <a:extLst>
            <a:ext uri="{FF2B5EF4-FFF2-40B4-BE49-F238E27FC236}">
              <a16:creationId xmlns:a16="http://schemas.microsoft.com/office/drawing/2014/main" id="{00000000-0008-0000-0800-00007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2" name="Text Box 53">
          <a:extLst>
            <a:ext uri="{FF2B5EF4-FFF2-40B4-BE49-F238E27FC236}">
              <a16:creationId xmlns:a16="http://schemas.microsoft.com/office/drawing/2014/main" id="{00000000-0008-0000-0800-00007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3" name="Text Box 54">
          <a:extLst>
            <a:ext uri="{FF2B5EF4-FFF2-40B4-BE49-F238E27FC236}">
              <a16:creationId xmlns:a16="http://schemas.microsoft.com/office/drawing/2014/main" id="{00000000-0008-0000-0800-00007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4" name="Text Box 55">
          <a:extLst>
            <a:ext uri="{FF2B5EF4-FFF2-40B4-BE49-F238E27FC236}">
              <a16:creationId xmlns:a16="http://schemas.microsoft.com/office/drawing/2014/main" id="{00000000-0008-0000-0800-00008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5" name="Text Box 56">
          <a:extLst>
            <a:ext uri="{FF2B5EF4-FFF2-40B4-BE49-F238E27FC236}">
              <a16:creationId xmlns:a16="http://schemas.microsoft.com/office/drawing/2014/main" id="{00000000-0008-0000-0800-00008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6" name="Text Box 57">
          <a:extLst>
            <a:ext uri="{FF2B5EF4-FFF2-40B4-BE49-F238E27FC236}">
              <a16:creationId xmlns:a16="http://schemas.microsoft.com/office/drawing/2014/main" id="{00000000-0008-0000-0800-00008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7" name="Text Box 58">
          <a:extLst>
            <a:ext uri="{FF2B5EF4-FFF2-40B4-BE49-F238E27FC236}">
              <a16:creationId xmlns:a16="http://schemas.microsoft.com/office/drawing/2014/main" id="{00000000-0008-0000-0800-00008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8" name="Text Box 59">
          <a:extLst>
            <a:ext uri="{FF2B5EF4-FFF2-40B4-BE49-F238E27FC236}">
              <a16:creationId xmlns:a16="http://schemas.microsoft.com/office/drawing/2014/main" id="{00000000-0008-0000-0800-00008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9" name="Text Box 60">
          <a:extLst>
            <a:ext uri="{FF2B5EF4-FFF2-40B4-BE49-F238E27FC236}">
              <a16:creationId xmlns:a16="http://schemas.microsoft.com/office/drawing/2014/main" id="{00000000-0008-0000-0800-00008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0" name="Text Box 61">
          <a:extLst>
            <a:ext uri="{FF2B5EF4-FFF2-40B4-BE49-F238E27FC236}">
              <a16:creationId xmlns:a16="http://schemas.microsoft.com/office/drawing/2014/main" id="{00000000-0008-0000-0800-00008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1" name="Text Box 62">
          <a:extLst>
            <a:ext uri="{FF2B5EF4-FFF2-40B4-BE49-F238E27FC236}">
              <a16:creationId xmlns:a16="http://schemas.microsoft.com/office/drawing/2014/main" id="{00000000-0008-0000-0800-00008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2" name="Text Box 63">
          <a:extLst>
            <a:ext uri="{FF2B5EF4-FFF2-40B4-BE49-F238E27FC236}">
              <a16:creationId xmlns:a16="http://schemas.microsoft.com/office/drawing/2014/main" id="{00000000-0008-0000-0800-00008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3" name="Text Box 64">
          <a:extLst>
            <a:ext uri="{FF2B5EF4-FFF2-40B4-BE49-F238E27FC236}">
              <a16:creationId xmlns:a16="http://schemas.microsoft.com/office/drawing/2014/main" id="{00000000-0008-0000-0800-00008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4" name="Text Box 65">
          <a:extLst>
            <a:ext uri="{FF2B5EF4-FFF2-40B4-BE49-F238E27FC236}">
              <a16:creationId xmlns:a16="http://schemas.microsoft.com/office/drawing/2014/main" id="{00000000-0008-0000-0800-00008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5" name="Text Box 66">
          <a:extLst>
            <a:ext uri="{FF2B5EF4-FFF2-40B4-BE49-F238E27FC236}">
              <a16:creationId xmlns:a16="http://schemas.microsoft.com/office/drawing/2014/main" id="{00000000-0008-0000-0800-00008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6" name="Text Box 67">
          <a:extLst>
            <a:ext uri="{FF2B5EF4-FFF2-40B4-BE49-F238E27FC236}">
              <a16:creationId xmlns:a16="http://schemas.microsoft.com/office/drawing/2014/main" id="{00000000-0008-0000-0800-00008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7" name="Text Box 68">
          <a:extLst>
            <a:ext uri="{FF2B5EF4-FFF2-40B4-BE49-F238E27FC236}">
              <a16:creationId xmlns:a16="http://schemas.microsoft.com/office/drawing/2014/main" id="{00000000-0008-0000-0800-00008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8" name="Text Box 69">
          <a:extLst>
            <a:ext uri="{FF2B5EF4-FFF2-40B4-BE49-F238E27FC236}">
              <a16:creationId xmlns:a16="http://schemas.microsoft.com/office/drawing/2014/main" id="{00000000-0008-0000-0800-00008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9" name="Text Box 70">
          <a:extLst>
            <a:ext uri="{FF2B5EF4-FFF2-40B4-BE49-F238E27FC236}">
              <a16:creationId xmlns:a16="http://schemas.microsoft.com/office/drawing/2014/main" id="{00000000-0008-0000-0800-00008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0" name="Text Box 71">
          <a:extLst>
            <a:ext uri="{FF2B5EF4-FFF2-40B4-BE49-F238E27FC236}">
              <a16:creationId xmlns:a16="http://schemas.microsoft.com/office/drawing/2014/main" id="{00000000-0008-0000-0800-00009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1" name="Text Box 72">
          <a:extLst>
            <a:ext uri="{FF2B5EF4-FFF2-40B4-BE49-F238E27FC236}">
              <a16:creationId xmlns:a16="http://schemas.microsoft.com/office/drawing/2014/main" id="{00000000-0008-0000-0800-00009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2" name="Text Box 73">
          <a:extLst>
            <a:ext uri="{FF2B5EF4-FFF2-40B4-BE49-F238E27FC236}">
              <a16:creationId xmlns:a16="http://schemas.microsoft.com/office/drawing/2014/main" id="{00000000-0008-0000-0800-00009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3" name="Text Box 74">
          <a:extLst>
            <a:ext uri="{FF2B5EF4-FFF2-40B4-BE49-F238E27FC236}">
              <a16:creationId xmlns:a16="http://schemas.microsoft.com/office/drawing/2014/main" id="{00000000-0008-0000-0800-00009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4" name="Text Box 75">
          <a:extLst>
            <a:ext uri="{FF2B5EF4-FFF2-40B4-BE49-F238E27FC236}">
              <a16:creationId xmlns:a16="http://schemas.microsoft.com/office/drawing/2014/main" id="{00000000-0008-0000-0800-00009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5" name="Text Box 76">
          <a:extLst>
            <a:ext uri="{FF2B5EF4-FFF2-40B4-BE49-F238E27FC236}">
              <a16:creationId xmlns:a16="http://schemas.microsoft.com/office/drawing/2014/main" id="{00000000-0008-0000-0800-00009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6" name="Text Box 77">
          <a:extLst>
            <a:ext uri="{FF2B5EF4-FFF2-40B4-BE49-F238E27FC236}">
              <a16:creationId xmlns:a16="http://schemas.microsoft.com/office/drawing/2014/main" id="{00000000-0008-0000-0800-00009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7" name="Text Box 78">
          <a:extLst>
            <a:ext uri="{FF2B5EF4-FFF2-40B4-BE49-F238E27FC236}">
              <a16:creationId xmlns:a16="http://schemas.microsoft.com/office/drawing/2014/main" id="{00000000-0008-0000-0800-00009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8" name="Text Box 79">
          <a:extLst>
            <a:ext uri="{FF2B5EF4-FFF2-40B4-BE49-F238E27FC236}">
              <a16:creationId xmlns:a16="http://schemas.microsoft.com/office/drawing/2014/main" id="{00000000-0008-0000-0800-00009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9" name="Text Box 80">
          <a:extLst>
            <a:ext uri="{FF2B5EF4-FFF2-40B4-BE49-F238E27FC236}">
              <a16:creationId xmlns:a16="http://schemas.microsoft.com/office/drawing/2014/main" id="{00000000-0008-0000-0800-00009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0" name="Text Box 81">
          <a:extLst>
            <a:ext uri="{FF2B5EF4-FFF2-40B4-BE49-F238E27FC236}">
              <a16:creationId xmlns:a16="http://schemas.microsoft.com/office/drawing/2014/main" id="{00000000-0008-0000-0800-00009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1" name="Text Box 82">
          <a:extLst>
            <a:ext uri="{FF2B5EF4-FFF2-40B4-BE49-F238E27FC236}">
              <a16:creationId xmlns:a16="http://schemas.microsoft.com/office/drawing/2014/main" id="{00000000-0008-0000-0800-00009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2" name="Text Box 83">
          <a:extLst>
            <a:ext uri="{FF2B5EF4-FFF2-40B4-BE49-F238E27FC236}">
              <a16:creationId xmlns:a16="http://schemas.microsoft.com/office/drawing/2014/main" id="{00000000-0008-0000-0800-00009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3" name="Text Box 84">
          <a:extLst>
            <a:ext uri="{FF2B5EF4-FFF2-40B4-BE49-F238E27FC236}">
              <a16:creationId xmlns:a16="http://schemas.microsoft.com/office/drawing/2014/main" id="{00000000-0008-0000-0800-00009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4" name="Text Box 85">
          <a:extLst>
            <a:ext uri="{FF2B5EF4-FFF2-40B4-BE49-F238E27FC236}">
              <a16:creationId xmlns:a16="http://schemas.microsoft.com/office/drawing/2014/main" id="{00000000-0008-0000-0800-00009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5" name="Text Box 86">
          <a:extLst>
            <a:ext uri="{FF2B5EF4-FFF2-40B4-BE49-F238E27FC236}">
              <a16:creationId xmlns:a16="http://schemas.microsoft.com/office/drawing/2014/main" id="{00000000-0008-0000-0800-00009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6" name="Text Box 87">
          <a:extLst>
            <a:ext uri="{FF2B5EF4-FFF2-40B4-BE49-F238E27FC236}">
              <a16:creationId xmlns:a16="http://schemas.microsoft.com/office/drawing/2014/main" id="{00000000-0008-0000-0800-0000A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7" name="Text Box 88">
          <a:extLst>
            <a:ext uri="{FF2B5EF4-FFF2-40B4-BE49-F238E27FC236}">
              <a16:creationId xmlns:a16="http://schemas.microsoft.com/office/drawing/2014/main" id="{00000000-0008-0000-0800-0000A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8" name="Text Box 89">
          <a:extLst>
            <a:ext uri="{FF2B5EF4-FFF2-40B4-BE49-F238E27FC236}">
              <a16:creationId xmlns:a16="http://schemas.microsoft.com/office/drawing/2014/main" id="{00000000-0008-0000-0800-0000A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9" name="Text Box 90">
          <a:extLst>
            <a:ext uri="{FF2B5EF4-FFF2-40B4-BE49-F238E27FC236}">
              <a16:creationId xmlns:a16="http://schemas.microsoft.com/office/drawing/2014/main" id="{00000000-0008-0000-0800-0000A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0" name="Text Box 91">
          <a:extLst>
            <a:ext uri="{FF2B5EF4-FFF2-40B4-BE49-F238E27FC236}">
              <a16:creationId xmlns:a16="http://schemas.microsoft.com/office/drawing/2014/main" id="{00000000-0008-0000-0800-0000A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1" name="Text Box 92">
          <a:extLst>
            <a:ext uri="{FF2B5EF4-FFF2-40B4-BE49-F238E27FC236}">
              <a16:creationId xmlns:a16="http://schemas.microsoft.com/office/drawing/2014/main" id="{00000000-0008-0000-0800-0000A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2" name="Text Box 93">
          <a:extLst>
            <a:ext uri="{FF2B5EF4-FFF2-40B4-BE49-F238E27FC236}">
              <a16:creationId xmlns:a16="http://schemas.microsoft.com/office/drawing/2014/main" id="{00000000-0008-0000-0800-0000A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3" name="Text Box 94">
          <a:extLst>
            <a:ext uri="{FF2B5EF4-FFF2-40B4-BE49-F238E27FC236}">
              <a16:creationId xmlns:a16="http://schemas.microsoft.com/office/drawing/2014/main" id="{00000000-0008-0000-0800-0000A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4" name="Text Box 95">
          <a:extLst>
            <a:ext uri="{FF2B5EF4-FFF2-40B4-BE49-F238E27FC236}">
              <a16:creationId xmlns:a16="http://schemas.microsoft.com/office/drawing/2014/main" id="{00000000-0008-0000-0800-0000A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5" name="Text Box 96">
          <a:extLst>
            <a:ext uri="{FF2B5EF4-FFF2-40B4-BE49-F238E27FC236}">
              <a16:creationId xmlns:a16="http://schemas.microsoft.com/office/drawing/2014/main" id="{00000000-0008-0000-0800-0000A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6" name="Text Box 97">
          <a:extLst>
            <a:ext uri="{FF2B5EF4-FFF2-40B4-BE49-F238E27FC236}">
              <a16:creationId xmlns:a16="http://schemas.microsoft.com/office/drawing/2014/main" id="{00000000-0008-0000-0800-0000A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7" name="Text Box 100">
          <a:extLst>
            <a:ext uri="{FF2B5EF4-FFF2-40B4-BE49-F238E27FC236}">
              <a16:creationId xmlns:a16="http://schemas.microsoft.com/office/drawing/2014/main" id="{00000000-0008-0000-0800-0000A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8" name="Text Box 101">
          <a:extLst>
            <a:ext uri="{FF2B5EF4-FFF2-40B4-BE49-F238E27FC236}">
              <a16:creationId xmlns:a16="http://schemas.microsoft.com/office/drawing/2014/main" id="{00000000-0008-0000-0800-0000A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9" name="Text Box 102">
          <a:extLst>
            <a:ext uri="{FF2B5EF4-FFF2-40B4-BE49-F238E27FC236}">
              <a16:creationId xmlns:a16="http://schemas.microsoft.com/office/drawing/2014/main" id="{00000000-0008-0000-0800-0000A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0" name="Text Box 103">
          <a:extLst>
            <a:ext uri="{FF2B5EF4-FFF2-40B4-BE49-F238E27FC236}">
              <a16:creationId xmlns:a16="http://schemas.microsoft.com/office/drawing/2014/main" id="{00000000-0008-0000-0800-0000A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1" name="Text Box 104">
          <a:extLst>
            <a:ext uri="{FF2B5EF4-FFF2-40B4-BE49-F238E27FC236}">
              <a16:creationId xmlns:a16="http://schemas.microsoft.com/office/drawing/2014/main" id="{00000000-0008-0000-0800-0000A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2" name="Text Box 105">
          <a:extLst>
            <a:ext uri="{FF2B5EF4-FFF2-40B4-BE49-F238E27FC236}">
              <a16:creationId xmlns:a16="http://schemas.microsoft.com/office/drawing/2014/main" id="{00000000-0008-0000-0800-0000B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3" name="Text Box 106">
          <a:extLst>
            <a:ext uri="{FF2B5EF4-FFF2-40B4-BE49-F238E27FC236}">
              <a16:creationId xmlns:a16="http://schemas.microsoft.com/office/drawing/2014/main" id="{00000000-0008-0000-0800-0000B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4" name="Text Box 107">
          <a:extLst>
            <a:ext uri="{FF2B5EF4-FFF2-40B4-BE49-F238E27FC236}">
              <a16:creationId xmlns:a16="http://schemas.microsoft.com/office/drawing/2014/main" id="{00000000-0008-0000-0800-0000B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5" name="Text Box 108">
          <a:extLst>
            <a:ext uri="{FF2B5EF4-FFF2-40B4-BE49-F238E27FC236}">
              <a16:creationId xmlns:a16="http://schemas.microsoft.com/office/drawing/2014/main" id="{00000000-0008-0000-0800-0000B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6" name="Text Box 109">
          <a:extLst>
            <a:ext uri="{FF2B5EF4-FFF2-40B4-BE49-F238E27FC236}">
              <a16:creationId xmlns:a16="http://schemas.microsoft.com/office/drawing/2014/main" id="{00000000-0008-0000-0800-0000B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7" name="Text Box 110">
          <a:extLst>
            <a:ext uri="{FF2B5EF4-FFF2-40B4-BE49-F238E27FC236}">
              <a16:creationId xmlns:a16="http://schemas.microsoft.com/office/drawing/2014/main" id="{00000000-0008-0000-0800-0000B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8" name="Text Box 111">
          <a:extLst>
            <a:ext uri="{FF2B5EF4-FFF2-40B4-BE49-F238E27FC236}">
              <a16:creationId xmlns:a16="http://schemas.microsoft.com/office/drawing/2014/main" id="{00000000-0008-0000-0800-0000B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9" name="Text Box 119">
          <a:extLst>
            <a:ext uri="{FF2B5EF4-FFF2-40B4-BE49-F238E27FC236}">
              <a16:creationId xmlns:a16="http://schemas.microsoft.com/office/drawing/2014/main" id="{00000000-0008-0000-0800-0000B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0" name="Text Box 120">
          <a:extLst>
            <a:ext uri="{FF2B5EF4-FFF2-40B4-BE49-F238E27FC236}">
              <a16:creationId xmlns:a16="http://schemas.microsoft.com/office/drawing/2014/main" id="{00000000-0008-0000-0800-0000B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1" name="Text Box 121">
          <a:extLst>
            <a:ext uri="{FF2B5EF4-FFF2-40B4-BE49-F238E27FC236}">
              <a16:creationId xmlns:a16="http://schemas.microsoft.com/office/drawing/2014/main" id="{00000000-0008-0000-0800-0000B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2" name="Text Box 122">
          <a:extLst>
            <a:ext uri="{FF2B5EF4-FFF2-40B4-BE49-F238E27FC236}">
              <a16:creationId xmlns:a16="http://schemas.microsoft.com/office/drawing/2014/main" id="{00000000-0008-0000-0800-0000B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3" name="Text Box 123">
          <a:extLst>
            <a:ext uri="{FF2B5EF4-FFF2-40B4-BE49-F238E27FC236}">
              <a16:creationId xmlns:a16="http://schemas.microsoft.com/office/drawing/2014/main" id="{00000000-0008-0000-0800-0000B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4" name="Text Box 124">
          <a:extLst>
            <a:ext uri="{FF2B5EF4-FFF2-40B4-BE49-F238E27FC236}">
              <a16:creationId xmlns:a16="http://schemas.microsoft.com/office/drawing/2014/main" id="{00000000-0008-0000-0800-0000B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5" name="Text Box 125">
          <a:extLst>
            <a:ext uri="{FF2B5EF4-FFF2-40B4-BE49-F238E27FC236}">
              <a16:creationId xmlns:a16="http://schemas.microsoft.com/office/drawing/2014/main" id="{00000000-0008-0000-0800-0000B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6" name="Text Box 126">
          <a:extLst>
            <a:ext uri="{FF2B5EF4-FFF2-40B4-BE49-F238E27FC236}">
              <a16:creationId xmlns:a16="http://schemas.microsoft.com/office/drawing/2014/main" id="{00000000-0008-0000-0800-0000B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7" name="Text Box 127">
          <a:extLst>
            <a:ext uri="{FF2B5EF4-FFF2-40B4-BE49-F238E27FC236}">
              <a16:creationId xmlns:a16="http://schemas.microsoft.com/office/drawing/2014/main" id="{00000000-0008-0000-0800-0000B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8" name="Text Box 128">
          <a:extLst>
            <a:ext uri="{FF2B5EF4-FFF2-40B4-BE49-F238E27FC236}">
              <a16:creationId xmlns:a16="http://schemas.microsoft.com/office/drawing/2014/main" id="{00000000-0008-0000-0800-0000C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9" name="Text Box 129">
          <a:extLst>
            <a:ext uri="{FF2B5EF4-FFF2-40B4-BE49-F238E27FC236}">
              <a16:creationId xmlns:a16="http://schemas.microsoft.com/office/drawing/2014/main" id="{00000000-0008-0000-0800-0000C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50" name="Text Box 130">
          <a:extLst>
            <a:ext uri="{FF2B5EF4-FFF2-40B4-BE49-F238E27FC236}">
              <a16:creationId xmlns:a16="http://schemas.microsoft.com/office/drawing/2014/main" id="{00000000-0008-0000-0800-0000C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1" name="Text Box 133">
          <a:extLst>
            <a:ext uri="{FF2B5EF4-FFF2-40B4-BE49-F238E27FC236}">
              <a16:creationId xmlns:a16="http://schemas.microsoft.com/office/drawing/2014/main" id="{00000000-0008-0000-0800-0000C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2" name="Text Box 134">
          <a:extLst>
            <a:ext uri="{FF2B5EF4-FFF2-40B4-BE49-F238E27FC236}">
              <a16:creationId xmlns:a16="http://schemas.microsoft.com/office/drawing/2014/main" id="{00000000-0008-0000-0800-0000C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3" name="Text Box 135">
          <a:extLst>
            <a:ext uri="{FF2B5EF4-FFF2-40B4-BE49-F238E27FC236}">
              <a16:creationId xmlns:a16="http://schemas.microsoft.com/office/drawing/2014/main" id="{00000000-0008-0000-0800-0000C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4" name="Text Box 136">
          <a:extLst>
            <a:ext uri="{FF2B5EF4-FFF2-40B4-BE49-F238E27FC236}">
              <a16:creationId xmlns:a16="http://schemas.microsoft.com/office/drawing/2014/main" id="{00000000-0008-0000-0800-0000C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5" name="Text Box 137">
          <a:extLst>
            <a:ext uri="{FF2B5EF4-FFF2-40B4-BE49-F238E27FC236}">
              <a16:creationId xmlns:a16="http://schemas.microsoft.com/office/drawing/2014/main" id="{00000000-0008-0000-0800-0000C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6" name="Text Box 138">
          <a:extLst>
            <a:ext uri="{FF2B5EF4-FFF2-40B4-BE49-F238E27FC236}">
              <a16:creationId xmlns:a16="http://schemas.microsoft.com/office/drawing/2014/main" id="{00000000-0008-0000-0800-0000C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7" name="Text Box 139">
          <a:extLst>
            <a:ext uri="{FF2B5EF4-FFF2-40B4-BE49-F238E27FC236}">
              <a16:creationId xmlns:a16="http://schemas.microsoft.com/office/drawing/2014/main" id="{00000000-0008-0000-0800-0000C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8" name="Text Box 140">
          <a:extLst>
            <a:ext uri="{FF2B5EF4-FFF2-40B4-BE49-F238E27FC236}">
              <a16:creationId xmlns:a16="http://schemas.microsoft.com/office/drawing/2014/main" id="{00000000-0008-0000-0800-0000C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9" name="Text Box 141">
          <a:extLst>
            <a:ext uri="{FF2B5EF4-FFF2-40B4-BE49-F238E27FC236}">
              <a16:creationId xmlns:a16="http://schemas.microsoft.com/office/drawing/2014/main" id="{00000000-0008-0000-0800-0000C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0" name="Text Box 142">
          <a:extLst>
            <a:ext uri="{FF2B5EF4-FFF2-40B4-BE49-F238E27FC236}">
              <a16:creationId xmlns:a16="http://schemas.microsoft.com/office/drawing/2014/main" id="{00000000-0008-0000-0800-0000C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1" name="Text Box 143">
          <a:extLst>
            <a:ext uri="{FF2B5EF4-FFF2-40B4-BE49-F238E27FC236}">
              <a16:creationId xmlns:a16="http://schemas.microsoft.com/office/drawing/2014/main" id="{00000000-0008-0000-0800-0000C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2" name="Text Box 144">
          <a:extLst>
            <a:ext uri="{FF2B5EF4-FFF2-40B4-BE49-F238E27FC236}">
              <a16:creationId xmlns:a16="http://schemas.microsoft.com/office/drawing/2014/main" id="{00000000-0008-0000-0800-0000C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3" name="Text Box 145">
          <a:extLst>
            <a:ext uri="{FF2B5EF4-FFF2-40B4-BE49-F238E27FC236}">
              <a16:creationId xmlns:a16="http://schemas.microsoft.com/office/drawing/2014/main" id="{00000000-0008-0000-0800-0000C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4" name="Text Box 146">
          <a:extLst>
            <a:ext uri="{FF2B5EF4-FFF2-40B4-BE49-F238E27FC236}">
              <a16:creationId xmlns:a16="http://schemas.microsoft.com/office/drawing/2014/main" id="{00000000-0008-0000-0800-0000D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5" name="Text Box 147">
          <a:extLst>
            <a:ext uri="{FF2B5EF4-FFF2-40B4-BE49-F238E27FC236}">
              <a16:creationId xmlns:a16="http://schemas.microsoft.com/office/drawing/2014/main" id="{00000000-0008-0000-0800-0000D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6" name="Text Box 148">
          <a:extLst>
            <a:ext uri="{FF2B5EF4-FFF2-40B4-BE49-F238E27FC236}">
              <a16:creationId xmlns:a16="http://schemas.microsoft.com/office/drawing/2014/main" id="{00000000-0008-0000-0800-0000D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7" name="Text Box 149">
          <a:extLst>
            <a:ext uri="{FF2B5EF4-FFF2-40B4-BE49-F238E27FC236}">
              <a16:creationId xmlns:a16="http://schemas.microsoft.com/office/drawing/2014/main" id="{00000000-0008-0000-0800-0000D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8" name="Text Box 150">
          <a:extLst>
            <a:ext uri="{FF2B5EF4-FFF2-40B4-BE49-F238E27FC236}">
              <a16:creationId xmlns:a16="http://schemas.microsoft.com/office/drawing/2014/main" id="{00000000-0008-0000-0800-0000D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9" name="Text Box 151">
          <a:extLst>
            <a:ext uri="{FF2B5EF4-FFF2-40B4-BE49-F238E27FC236}">
              <a16:creationId xmlns:a16="http://schemas.microsoft.com/office/drawing/2014/main" id="{00000000-0008-0000-0800-0000D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0" name="Text Box 152">
          <a:extLst>
            <a:ext uri="{FF2B5EF4-FFF2-40B4-BE49-F238E27FC236}">
              <a16:creationId xmlns:a16="http://schemas.microsoft.com/office/drawing/2014/main" id="{00000000-0008-0000-0800-0000D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1" name="Text Box 153">
          <a:extLst>
            <a:ext uri="{FF2B5EF4-FFF2-40B4-BE49-F238E27FC236}">
              <a16:creationId xmlns:a16="http://schemas.microsoft.com/office/drawing/2014/main" id="{00000000-0008-0000-0800-0000D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2" name="Text Box 154">
          <a:extLst>
            <a:ext uri="{FF2B5EF4-FFF2-40B4-BE49-F238E27FC236}">
              <a16:creationId xmlns:a16="http://schemas.microsoft.com/office/drawing/2014/main" id="{00000000-0008-0000-0800-0000D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3" name="Text Box 155">
          <a:extLst>
            <a:ext uri="{FF2B5EF4-FFF2-40B4-BE49-F238E27FC236}">
              <a16:creationId xmlns:a16="http://schemas.microsoft.com/office/drawing/2014/main" id="{00000000-0008-0000-0800-0000D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4" name="Text Box 156">
          <a:extLst>
            <a:ext uri="{FF2B5EF4-FFF2-40B4-BE49-F238E27FC236}">
              <a16:creationId xmlns:a16="http://schemas.microsoft.com/office/drawing/2014/main" id="{00000000-0008-0000-0800-0000D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5" name="Text Box 157">
          <a:extLst>
            <a:ext uri="{FF2B5EF4-FFF2-40B4-BE49-F238E27FC236}">
              <a16:creationId xmlns:a16="http://schemas.microsoft.com/office/drawing/2014/main" id="{00000000-0008-0000-0800-0000D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6" name="Text Box 158">
          <a:extLst>
            <a:ext uri="{FF2B5EF4-FFF2-40B4-BE49-F238E27FC236}">
              <a16:creationId xmlns:a16="http://schemas.microsoft.com/office/drawing/2014/main" id="{00000000-0008-0000-0800-0000D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7" name="Text Box 159">
          <a:extLst>
            <a:ext uri="{FF2B5EF4-FFF2-40B4-BE49-F238E27FC236}">
              <a16:creationId xmlns:a16="http://schemas.microsoft.com/office/drawing/2014/main" id="{00000000-0008-0000-0800-0000D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8" name="Text Box 160">
          <a:extLst>
            <a:ext uri="{FF2B5EF4-FFF2-40B4-BE49-F238E27FC236}">
              <a16:creationId xmlns:a16="http://schemas.microsoft.com/office/drawing/2014/main" id="{00000000-0008-0000-0800-0000D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9" name="Text Box 161">
          <a:extLst>
            <a:ext uri="{FF2B5EF4-FFF2-40B4-BE49-F238E27FC236}">
              <a16:creationId xmlns:a16="http://schemas.microsoft.com/office/drawing/2014/main" id="{00000000-0008-0000-0800-0000D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0" name="Text Box 162">
          <a:extLst>
            <a:ext uri="{FF2B5EF4-FFF2-40B4-BE49-F238E27FC236}">
              <a16:creationId xmlns:a16="http://schemas.microsoft.com/office/drawing/2014/main" id="{00000000-0008-0000-0800-0000E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1" name="Text Box 163">
          <a:extLst>
            <a:ext uri="{FF2B5EF4-FFF2-40B4-BE49-F238E27FC236}">
              <a16:creationId xmlns:a16="http://schemas.microsoft.com/office/drawing/2014/main" id="{00000000-0008-0000-0800-0000E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2" name="Text Box 164">
          <a:extLst>
            <a:ext uri="{FF2B5EF4-FFF2-40B4-BE49-F238E27FC236}">
              <a16:creationId xmlns:a16="http://schemas.microsoft.com/office/drawing/2014/main" id="{00000000-0008-0000-0800-0000E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3" name="Text Box 165">
          <a:extLst>
            <a:ext uri="{FF2B5EF4-FFF2-40B4-BE49-F238E27FC236}">
              <a16:creationId xmlns:a16="http://schemas.microsoft.com/office/drawing/2014/main" id="{00000000-0008-0000-0800-0000E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4" name="Text Box 166">
          <a:extLst>
            <a:ext uri="{FF2B5EF4-FFF2-40B4-BE49-F238E27FC236}">
              <a16:creationId xmlns:a16="http://schemas.microsoft.com/office/drawing/2014/main" id="{00000000-0008-0000-0800-0000E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5" name="Text Box 167">
          <a:extLst>
            <a:ext uri="{FF2B5EF4-FFF2-40B4-BE49-F238E27FC236}">
              <a16:creationId xmlns:a16="http://schemas.microsoft.com/office/drawing/2014/main" id="{00000000-0008-0000-0800-0000E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6" name="Text Box 168">
          <a:extLst>
            <a:ext uri="{FF2B5EF4-FFF2-40B4-BE49-F238E27FC236}">
              <a16:creationId xmlns:a16="http://schemas.microsoft.com/office/drawing/2014/main" id="{00000000-0008-0000-0800-0000E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7" name="Text Box 169">
          <a:extLst>
            <a:ext uri="{FF2B5EF4-FFF2-40B4-BE49-F238E27FC236}">
              <a16:creationId xmlns:a16="http://schemas.microsoft.com/office/drawing/2014/main" id="{00000000-0008-0000-0800-0000E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8" name="Text Box 170">
          <a:extLst>
            <a:ext uri="{FF2B5EF4-FFF2-40B4-BE49-F238E27FC236}">
              <a16:creationId xmlns:a16="http://schemas.microsoft.com/office/drawing/2014/main" id="{00000000-0008-0000-0800-0000E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9" name="Text Box 171">
          <a:extLst>
            <a:ext uri="{FF2B5EF4-FFF2-40B4-BE49-F238E27FC236}">
              <a16:creationId xmlns:a16="http://schemas.microsoft.com/office/drawing/2014/main" id="{00000000-0008-0000-0800-0000E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0" name="Text Box 172">
          <a:extLst>
            <a:ext uri="{FF2B5EF4-FFF2-40B4-BE49-F238E27FC236}">
              <a16:creationId xmlns:a16="http://schemas.microsoft.com/office/drawing/2014/main" id="{00000000-0008-0000-0800-0000E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1" name="Text Box 173">
          <a:extLst>
            <a:ext uri="{FF2B5EF4-FFF2-40B4-BE49-F238E27FC236}">
              <a16:creationId xmlns:a16="http://schemas.microsoft.com/office/drawing/2014/main" id="{00000000-0008-0000-0800-0000E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2" name="Text Box 174">
          <a:extLst>
            <a:ext uri="{FF2B5EF4-FFF2-40B4-BE49-F238E27FC236}">
              <a16:creationId xmlns:a16="http://schemas.microsoft.com/office/drawing/2014/main" id="{00000000-0008-0000-0800-0000E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3" name="Text Box 175">
          <a:extLst>
            <a:ext uri="{FF2B5EF4-FFF2-40B4-BE49-F238E27FC236}">
              <a16:creationId xmlns:a16="http://schemas.microsoft.com/office/drawing/2014/main" id="{00000000-0008-0000-0800-0000E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4" name="Text Box 176">
          <a:extLst>
            <a:ext uri="{FF2B5EF4-FFF2-40B4-BE49-F238E27FC236}">
              <a16:creationId xmlns:a16="http://schemas.microsoft.com/office/drawing/2014/main" id="{00000000-0008-0000-0800-0000E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5" name="Text Box 177">
          <a:extLst>
            <a:ext uri="{FF2B5EF4-FFF2-40B4-BE49-F238E27FC236}">
              <a16:creationId xmlns:a16="http://schemas.microsoft.com/office/drawing/2014/main" id="{00000000-0008-0000-0800-0000E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6" name="Text Box 178">
          <a:extLst>
            <a:ext uri="{FF2B5EF4-FFF2-40B4-BE49-F238E27FC236}">
              <a16:creationId xmlns:a16="http://schemas.microsoft.com/office/drawing/2014/main" id="{00000000-0008-0000-0800-0000F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7" name="Text Box 179">
          <a:extLst>
            <a:ext uri="{FF2B5EF4-FFF2-40B4-BE49-F238E27FC236}">
              <a16:creationId xmlns:a16="http://schemas.microsoft.com/office/drawing/2014/main" id="{00000000-0008-0000-0800-0000F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8" name="Text Box 180">
          <a:extLst>
            <a:ext uri="{FF2B5EF4-FFF2-40B4-BE49-F238E27FC236}">
              <a16:creationId xmlns:a16="http://schemas.microsoft.com/office/drawing/2014/main" id="{00000000-0008-0000-0800-0000F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9" name="Text Box 181">
          <a:extLst>
            <a:ext uri="{FF2B5EF4-FFF2-40B4-BE49-F238E27FC236}">
              <a16:creationId xmlns:a16="http://schemas.microsoft.com/office/drawing/2014/main" id="{00000000-0008-0000-0800-0000F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0" name="Text Box 182">
          <a:extLst>
            <a:ext uri="{FF2B5EF4-FFF2-40B4-BE49-F238E27FC236}">
              <a16:creationId xmlns:a16="http://schemas.microsoft.com/office/drawing/2014/main" id="{00000000-0008-0000-0800-0000F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1" name="Text Box 183">
          <a:extLst>
            <a:ext uri="{FF2B5EF4-FFF2-40B4-BE49-F238E27FC236}">
              <a16:creationId xmlns:a16="http://schemas.microsoft.com/office/drawing/2014/main" id="{00000000-0008-0000-0800-0000F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2" name="Text Box 184">
          <a:extLst>
            <a:ext uri="{FF2B5EF4-FFF2-40B4-BE49-F238E27FC236}">
              <a16:creationId xmlns:a16="http://schemas.microsoft.com/office/drawing/2014/main" id="{00000000-0008-0000-0800-0000F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3" name="Text Box 185">
          <a:extLst>
            <a:ext uri="{FF2B5EF4-FFF2-40B4-BE49-F238E27FC236}">
              <a16:creationId xmlns:a16="http://schemas.microsoft.com/office/drawing/2014/main" id="{00000000-0008-0000-0800-0000F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4" name="Text Box 186">
          <a:extLst>
            <a:ext uri="{FF2B5EF4-FFF2-40B4-BE49-F238E27FC236}">
              <a16:creationId xmlns:a16="http://schemas.microsoft.com/office/drawing/2014/main" id="{00000000-0008-0000-0800-0000F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5" name="Text Box 187">
          <a:extLst>
            <a:ext uri="{FF2B5EF4-FFF2-40B4-BE49-F238E27FC236}">
              <a16:creationId xmlns:a16="http://schemas.microsoft.com/office/drawing/2014/main" id="{00000000-0008-0000-0800-0000F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6" name="Text Box 188">
          <a:extLst>
            <a:ext uri="{FF2B5EF4-FFF2-40B4-BE49-F238E27FC236}">
              <a16:creationId xmlns:a16="http://schemas.microsoft.com/office/drawing/2014/main" id="{00000000-0008-0000-0800-0000F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7" name="Text Box 189">
          <a:extLst>
            <a:ext uri="{FF2B5EF4-FFF2-40B4-BE49-F238E27FC236}">
              <a16:creationId xmlns:a16="http://schemas.microsoft.com/office/drawing/2014/main" id="{00000000-0008-0000-0800-0000F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8" name="Text Box 190">
          <a:extLst>
            <a:ext uri="{FF2B5EF4-FFF2-40B4-BE49-F238E27FC236}">
              <a16:creationId xmlns:a16="http://schemas.microsoft.com/office/drawing/2014/main" id="{00000000-0008-0000-0800-0000F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9" name="Text Box 191">
          <a:extLst>
            <a:ext uri="{FF2B5EF4-FFF2-40B4-BE49-F238E27FC236}">
              <a16:creationId xmlns:a16="http://schemas.microsoft.com/office/drawing/2014/main" id="{00000000-0008-0000-0800-0000F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0" name="Text Box 192">
          <a:extLst>
            <a:ext uri="{FF2B5EF4-FFF2-40B4-BE49-F238E27FC236}">
              <a16:creationId xmlns:a16="http://schemas.microsoft.com/office/drawing/2014/main" id="{00000000-0008-0000-0800-0000F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1" name="Text Box 193">
          <a:extLst>
            <a:ext uri="{FF2B5EF4-FFF2-40B4-BE49-F238E27FC236}">
              <a16:creationId xmlns:a16="http://schemas.microsoft.com/office/drawing/2014/main" id="{00000000-0008-0000-0800-0000F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2" name="Text Box 194">
          <a:extLst>
            <a:ext uri="{FF2B5EF4-FFF2-40B4-BE49-F238E27FC236}">
              <a16:creationId xmlns:a16="http://schemas.microsoft.com/office/drawing/2014/main" id="{00000000-0008-0000-0800-00000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3" name="Text Box 195">
          <a:extLst>
            <a:ext uri="{FF2B5EF4-FFF2-40B4-BE49-F238E27FC236}">
              <a16:creationId xmlns:a16="http://schemas.microsoft.com/office/drawing/2014/main" id="{00000000-0008-0000-0800-00000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4" name="Text Box 196">
          <a:extLst>
            <a:ext uri="{FF2B5EF4-FFF2-40B4-BE49-F238E27FC236}">
              <a16:creationId xmlns:a16="http://schemas.microsoft.com/office/drawing/2014/main" id="{00000000-0008-0000-0800-00000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5" name="Text Box 197">
          <a:extLst>
            <a:ext uri="{FF2B5EF4-FFF2-40B4-BE49-F238E27FC236}">
              <a16:creationId xmlns:a16="http://schemas.microsoft.com/office/drawing/2014/main" id="{00000000-0008-0000-0800-00000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6" name="Text Box 198">
          <a:extLst>
            <a:ext uri="{FF2B5EF4-FFF2-40B4-BE49-F238E27FC236}">
              <a16:creationId xmlns:a16="http://schemas.microsoft.com/office/drawing/2014/main" id="{00000000-0008-0000-0800-00000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7" name="Text Box 199">
          <a:extLst>
            <a:ext uri="{FF2B5EF4-FFF2-40B4-BE49-F238E27FC236}">
              <a16:creationId xmlns:a16="http://schemas.microsoft.com/office/drawing/2014/main" id="{00000000-0008-0000-0800-00000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8" name="Text Box 200">
          <a:extLst>
            <a:ext uri="{FF2B5EF4-FFF2-40B4-BE49-F238E27FC236}">
              <a16:creationId xmlns:a16="http://schemas.microsoft.com/office/drawing/2014/main" id="{00000000-0008-0000-0800-00000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9" name="Text Box 201">
          <a:extLst>
            <a:ext uri="{FF2B5EF4-FFF2-40B4-BE49-F238E27FC236}">
              <a16:creationId xmlns:a16="http://schemas.microsoft.com/office/drawing/2014/main" id="{00000000-0008-0000-0800-00000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20" name="Text Box 202">
          <a:extLst>
            <a:ext uri="{FF2B5EF4-FFF2-40B4-BE49-F238E27FC236}">
              <a16:creationId xmlns:a16="http://schemas.microsoft.com/office/drawing/2014/main" id="{00000000-0008-0000-0800-00000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1" name="Text Box 203">
          <a:extLst>
            <a:ext uri="{FF2B5EF4-FFF2-40B4-BE49-F238E27FC236}">
              <a16:creationId xmlns:a16="http://schemas.microsoft.com/office/drawing/2014/main" id="{00000000-0008-0000-0800-00000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2" name="Text Box 204">
          <a:extLst>
            <a:ext uri="{FF2B5EF4-FFF2-40B4-BE49-F238E27FC236}">
              <a16:creationId xmlns:a16="http://schemas.microsoft.com/office/drawing/2014/main" id="{00000000-0008-0000-0800-00000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3" name="Text Box 205">
          <a:extLst>
            <a:ext uri="{FF2B5EF4-FFF2-40B4-BE49-F238E27FC236}">
              <a16:creationId xmlns:a16="http://schemas.microsoft.com/office/drawing/2014/main" id="{00000000-0008-0000-0800-00000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4" name="Text Box 206">
          <a:extLst>
            <a:ext uri="{FF2B5EF4-FFF2-40B4-BE49-F238E27FC236}">
              <a16:creationId xmlns:a16="http://schemas.microsoft.com/office/drawing/2014/main" id="{00000000-0008-0000-0800-00000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5" name="Text Box 207">
          <a:extLst>
            <a:ext uri="{FF2B5EF4-FFF2-40B4-BE49-F238E27FC236}">
              <a16:creationId xmlns:a16="http://schemas.microsoft.com/office/drawing/2014/main" id="{00000000-0008-0000-0800-00000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6" name="Text Box 208">
          <a:extLst>
            <a:ext uri="{FF2B5EF4-FFF2-40B4-BE49-F238E27FC236}">
              <a16:creationId xmlns:a16="http://schemas.microsoft.com/office/drawing/2014/main" id="{00000000-0008-0000-0800-00000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7" name="Text Box 209">
          <a:extLst>
            <a:ext uri="{FF2B5EF4-FFF2-40B4-BE49-F238E27FC236}">
              <a16:creationId xmlns:a16="http://schemas.microsoft.com/office/drawing/2014/main" id="{00000000-0008-0000-0800-00000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8" name="Text Box 210">
          <a:extLst>
            <a:ext uri="{FF2B5EF4-FFF2-40B4-BE49-F238E27FC236}">
              <a16:creationId xmlns:a16="http://schemas.microsoft.com/office/drawing/2014/main" id="{00000000-0008-0000-0800-00001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9" name="Text Box 211">
          <a:extLst>
            <a:ext uri="{FF2B5EF4-FFF2-40B4-BE49-F238E27FC236}">
              <a16:creationId xmlns:a16="http://schemas.microsoft.com/office/drawing/2014/main" id="{00000000-0008-0000-0800-00001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0" name="Text Box 212">
          <a:extLst>
            <a:ext uri="{FF2B5EF4-FFF2-40B4-BE49-F238E27FC236}">
              <a16:creationId xmlns:a16="http://schemas.microsoft.com/office/drawing/2014/main" id="{00000000-0008-0000-0800-00001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1" name="Text Box 213">
          <a:extLst>
            <a:ext uri="{FF2B5EF4-FFF2-40B4-BE49-F238E27FC236}">
              <a16:creationId xmlns:a16="http://schemas.microsoft.com/office/drawing/2014/main" id="{00000000-0008-0000-0800-00001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2" name="Text Box 214">
          <a:extLst>
            <a:ext uri="{FF2B5EF4-FFF2-40B4-BE49-F238E27FC236}">
              <a16:creationId xmlns:a16="http://schemas.microsoft.com/office/drawing/2014/main" id="{00000000-0008-0000-0800-00001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3" name="Text Box 215">
          <a:extLst>
            <a:ext uri="{FF2B5EF4-FFF2-40B4-BE49-F238E27FC236}">
              <a16:creationId xmlns:a16="http://schemas.microsoft.com/office/drawing/2014/main" id="{00000000-0008-0000-0800-00001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4" name="Text Box 216">
          <a:extLst>
            <a:ext uri="{FF2B5EF4-FFF2-40B4-BE49-F238E27FC236}">
              <a16:creationId xmlns:a16="http://schemas.microsoft.com/office/drawing/2014/main" id="{00000000-0008-0000-0800-00001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5" name="Text Box 217">
          <a:extLst>
            <a:ext uri="{FF2B5EF4-FFF2-40B4-BE49-F238E27FC236}">
              <a16:creationId xmlns:a16="http://schemas.microsoft.com/office/drawing/2014/main" id="{00000000-0008-0000-0800-00001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6" name="Text Box 218">
          <a:extLst>
            <a:ext uri="{FF2B5EF4-FFF2-40B4-BE49-F238E27FC236}">
              <a16:creationId xmlns:a16="http://schemas.microsoft.com/office/drawing/2014/main" id="{00000000-0008-0000-0800-00001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7" name="Text Box 219">
          <a:extLst>
            <a:ext uri="{FF2B5EF4-FFF2-40B4-BE49-F238E27FC236}">
              <a16:creationId xmlns:a16="http://schemas.microsoft.com/office/drawing/2014/main" id="{00000000-0008-0000-0800-00001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8" name="Text Box 220">
          <a:extLst>
            <a:ext uri="{FF2B5EF4-FFF2-40B4-BE49-F238E27FC236}">
              <a16:creationId xmlns:a16="http://schemas.microsoft.com/office/drawing/2014/main" id="{00000000-0008-0000-0800-00001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9" name="Text Box 221">
          <a:extLst>
            <a:ext uri="{FF2B5EF4-FFF2-40B4-BE49-F238E27FC236}">
              <a16:creationId xmlns:a16="http://schemas.microsoft.com/office/drawing/2014/main" id="{00000000-0008-0000-0800-00001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0" name="Text Box 222">
          <a:extLst>
            <a:ext uri="{FF2B5EF4-FFF2-40B4-BE49-F238E27FC236}">
              <a16:creationId xmlns:a16="http://schemas.microsoft.com/office/drawing/2014/main" id="{00000000-0008-0000-0800-00001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1" name="Text Box 223">
          <a:extLst>
            <a:ext uri="{FF2B5EF4-FFF2-40B4-BE49-F238E27FC236}">
              <a16:creationId xmlns:a16="http://schemas.microsoft.com/office/drawing/2014/main" id="{00000000-0008-0000-0800-00001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2" name="Text Box 224">
          <a:extLst>
            <a:ext uri="{FF2B5EF4-FFF2-40B4-BE49-F238E27FC236}">
              <a16:creationId xmlns:a16="http://schemas.microsoft.com/office/drawing/2014/main" id="{00000000-0008-0000-0800-00001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3" name="Text Box 225">
          <a:extLst>
            <a:ext uri="{FF2B5EF4-FFF2-40B4-BE49-F238E27FC236}">
              <a16:creationId xmlns:a16="http://schemas.microsoft.com/office/drawing/2014/main" id="{00000000-0008-0000-0800-00001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4" name="Text Box 226">
          <a:extLst>
            <a:ext uri="{FF2B5EF4-FFF2-40B4-BE49-F238E27FC236}">
              <a16:creationId xmlns:a16="http://schemas.microsoft.com/office/drawing/2014/main" id="{00000000-0008-0000-0800-00002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5" name="Text Box 227">
          <a:extLst>
            <a:ext uri="{FF2B5EF4-FFF2-40B4-BE49-F238E27FC236}">
              <a16:creationId xmlns:a16="http://schemas.microsoft.com/office/drawing/2014/main" id="{00000000-0008-0000-0800-00002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6" name="Text Box 228">
          <a:extLst>
            <a:ext uri="{FF2B5EF4-FFF2-40B4-BE49-F238E27FC236}">
              <a16:creationId xmlns:a16="http://schemas.microsoft.com/office/drawing/2014/main" id="{00000000-0008-0000-0800-00002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7" name="Text Box 229">
          <a:extLst>
            <a:ext uri="{FF2B5EF4-FFF2-40B4-BE49-F238E27FC236}">
              <a16:creationId xmlns:a16="http://schemas.microsoft.com/office/drawing/2014/main" id="{00000000-0008-0000-0800-00002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8" name="Text Box 230">
          <a:extLst>
            <a:ext uri="{FF2B5EF4-FFF2-40B4-BE49-F238E27FC236}">
              <a16:creationId xmlns:a16="http://schemas.microsoft.com/office/drawing/2014/main" id="{00000000-0008-0000-0800-00002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9" name="Text Box 231">
          <a:extLst>
            <a:ext uri="{FF2B5EF4-FFF2-40B4-BE49-F238E27FC236}">
              <a16:creationId xmlns:a16="http://schemas.microsoft.com/office/drawing/2014/main" id="{00000000-0008-0000-0800-00002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0" name="Text Box 232">
          <a:extLst>
            <a:ext uri="{FF2B5EF4-FFF2-40B4-BE49-F238E27FC236}">
              <a16:creationId xmlns:a16="http://schemas.microsoft.com/office/drawing/2014/main" id="{00000000-0008-0000-0800-00002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1" name="Text Box 233">
          <a:extLst>
            <a:ext uri="{FF2B5EF4-FFF2-40B4-BE49-F238E27FC236}">
              <a16:creationId xmlns:a16="http://schemas.microsoft.com/office/drawing/2014/main" id="{00000000-0008-0000-0800-00002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2" name="Text Box 234">
          <a:extLst>
            <a:ext uri="{FF2B5EF4-FFF2-40B4-BE49-F238E27FC236}">
              <a16:creationId xmlns:a16="http://schemas.microsoft.com/office/drawing/2014/main" id="{00000000-0008-0000-0800-00002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3" name="Text Box 235">
          <a:extLst>
            <a:ext uri="{FF2B5EF4-FFF2-40B4-BE49-F238E27FC236}">
              <a16:creationId xmlns:a16="http://schemas.microsoft.com/office/drawing/2014/main" id="{00000000-0008-0000-0800-00002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4" name="Text Box 236">
          <a:extLst>
            <a:ext uri="{FF2B5EF4-FFF2-40B4-BE49-F238E27FC236}">
              <a16:creationId xmlns:a16="http://schemas.microsoft.com/office/drawing/2014/main" id="{00000000-0008-0000-0800-00002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5" name="Text Box 237">
          <a:extLst>
            <a:ext uri="{FF2B5EF4-FFF2-40B4-BE49-F238E27FC236}">
              <a16:creationId xmlns:a16="http://schemas.microsoft.com/office/drawing/2014/main" id="{00000000-0008-0000-0800-00002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6" name="Text Box 238">
          <a:extLst>
            <a:ext uri="{FF2B5EF4-FFF2-40B4-BE49-F238E27FC236}">
              <a16:creationId xmlns:a16="http://schemas.microsoft.com/office/drawing/2014/main" id="{00000000-0008-0000-0800-00002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7" name="Text Box 239">
          <a:extLst>
            <a:ext uri="{FF2B5EF4-FFF2-40B4-BE49-F238E27FC236}">
              <a16:creationId xmlns:a16="http://schemas.microsoft.com/office/drawing/2014/main" id="{00000000-0008-0000-0800-00002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8" name="Text Box 240">
          <a:extLst>
            <a:ext uri="{FF2B5EF4-FFF2-40B4-BE49-F238E27FC236}">
              <a16:creationId xmlns:a16="http://schemas.microsoft.com/office/drawing/2014/main" id="{00000000-0008-0000-0800-00002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9" name="Text Box 241">
          <a:extLst>
            <a:ext uri="{FF2B5EF4-FFF2-40B4-BE49-F238E27FC236}">
              <a16:creationId xmlns:a16="http://schemas.microsoft.com/office/drawing/2014/main" id="{00000000-0008-0000-0800-00002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0" name="Text Box 242">
          <a:extLst>
            <a:ext uri="{FF2B5EF4-FFF2-40B4-BE49-F238E27FC236}">
              <a16:creationId xmlns:a16="http://schemas.microsoft.com/office/drawing/2014/main" id="{00000000-0008-0000-0800-00003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1" name="Text Box 243">
          <a:extLst>
            <a:ext uri="{FF2B5EF4-FFF2-40B4-BE49-F238E27FC236}">
              <a16:creationId xmlns:a16="http://schemas.microsoft.com/office/drawing/2014/main" id="{00000000-0008-0000-0800-00003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2" name="Text Box 244">
          <a:extLst>
            <a:ext uri="{FF2B5EF4-FFF2-40B4-BE49-F238E27FC236}">
              <a16:creationId xmlns:a16="http://schemas.microsoft.com/office/drawing/2014/main" id="{00000000-0008-0000-0800-00003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3" name="Text Box 245">
          <a:extLst>
            <a:ext uri="{FF2B5EF4-FFF2-40B4-BE49-F238E27FC236}">
              <a16:creationId xmlns:a16="http://schemas.microsoft.com/office/drawing/2014/main" id="{00000000-0008-0000-0800-00003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4" name="Text Box 246">
          <a:extLst>
            <a:ext uri="{FF2B5EF4-FFF2-40B4-BE49-F238E27FC236}">
              <a16:creationId xmlns:a16="http://schemas.microsoft.com/office/drawing/2014/main" id="{00000000-0008-0000-0800-00003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5" name="Text Box 247">
          <a:extLst>
            <a:ext uri="{FF2B5EF4-FFF2-40B4-BE49-F238E27FC236}">
              <a16:creationId xmlns:a16="http://schemas.microsoft.com/office/drawing/2014/main" id="{00000000-0008-0000-0800-00003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6" name="Text Box 248">
          <a:extLst>
            <a:ext uri="{FF2B5EF4-FFF2-40B4-BE49-F238E27FC236}">
              <a16:creationId xmlns:a16="http://schemas.microsoft.com/office/drawing/2014/main" id="{00000000-0008-0000-0800-00003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7" name="Text Box 249">
          <a:extLst>
            <a:ext uri="{FF2B5EF4-FFF2-40B4-BE49-F238E27FC236}">
              <a16:creationId xmlns:a16="http://schemas.microsoft.com/office/drawing/2014/main" id="{00000000-0008-0000-0800-00003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8" name="Text Box 250">
          <a:extLst>
            <a:ext uri="{FF2B5EF4-FFF2-40B4-BE49-F238E27FC236}">
              <a16:creationId xmlns:a16="http://schemas.microsoft.com/office/drawing/2014/main" id="{00000000-0008-0000-0800-00003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9" name="Text Box 251">
          <a:extLst>
            <a:ext uri="{FF2B5EF4-FFF2-40B4-BE49-F238E27FC236}">
              <a16:creationId xmlns:a16="http://schemas.microsoft.com/office/drawing/2014/main" id="{00000000-0008-0000-0800-00003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0" name="Text Box 252">
          <a:extLst>
            <a:ext uri="{FF2B5EF4-FFF2-40B4-BE49-F238E27FC236}">
              <a16:creationId xmlns:a16="http://schemas.microsoft.com/office/drawing/2014/main" id="{00000000-0008-0000-0800-00003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1" name="Text Box 253">
          <a:extLst>
            <a:ext uri="{FF2B5EF4-FFF2-40B4-BE49-F238E27FC236}">
              <a16:creationId xmlns:a16="http://schemas.microsoft.com/office/drawing/2014/main" id="{00000000-0008-0000-0800-00003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2" name="Text Box 254">
          <a:extLst>
            <a:ext uri="{FF2B5EF4-FFF2-40B4-BE49-F238E27FC236}">
              <a16:creationId xmlns:a16="http://schemas.microsoft.com/office/drawing/2014/main" id="{00000000-0008-0000-0800-00003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3" name="Text Box 255">
          <a:extLst>
            <a:ext uri="{FF2B5EF4-FFF2-40B4-BE49-F238E27FC236}">
              <a16:creationId xmlns:a16="http://schemas.microsoft.com/office/drawing/2014/main" id="{00000000-0008-0000-0800-00003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4" name="Text Box 256">
          <a:extLst>
            <a:ext uri="{FF2B5EF4-FFF2-40B4-BE49-F238E27FC236}">
              <a16:creationId xmlns:a16="http://schemas.microsoft.com/office/drawing/2014/main" id="{00000000-0008-0000-0800-00003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5" name="Text Box 257">
          <a:extLst>
            <a:ext uri="{FF2B5EF4-FFF2-40B4-BE49-F238E27FC236}">
              <a16:creationId xmlns:a16="http://schemas.microsoft.com/office/drawing/2014/main" id="{00000000-0008-0000-0800-00003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6" name="Text Box 258">
          <a:extLst>
            <a:ext uri="{FF2B5EF4-FFF2-40B4-BE49-F238E27FC236}">
              <a16:creationId xmlns:a16="http://schemas.microsoft.com/office/drawing/2014/main" id="{00000000-0008-0000-0800-00004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7" name="Text Box 259">
          <a:extLst>
            <a:ext uri="{FF2B5EF4-FFF2-40B4-BE49-F238E27FC236}">
              <a16:creationId xmlns:a16="http://schemas.microsoft.com/office/drawing/2014/main" id="{00000000-0008-0000-0800-00004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8" name="Text Box 260">
          <a:extLst>
            <a:ext uri="{FF2B5EF4-FFF2-40B4-BE49-F238E27FC236}">
              <a16:creationId xmlns:a16="http://schemas.microsoft.com/office/drawing/2014/main" id="{00000000-0008-0000-0800-00004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9" name="Text Box 261">
          <a:extLst>
            <a:ext uri="{FF2B5EF4-FFF2-40B4-BE49-F238E27FC236}">
              <a16:creationId xmlns:a16="http://schemas.microsoft.com/office/drawing/2014/main" id="{00000000-0008-0000-0800-00004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0" name="Text Box 262">
          <a:extLst>
            <a:ext uri="{FF2B5EF4-FFF2-40B4-BE49-F238E27FC236}">
              <a16:creationId xmlns:a16="http://schemas.microsoft.com/office/drawing/2014/main" id="{00000000-0008-0000-0800-00004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1" name="Text Box 263">
          <a:extLst>
            <a:ext uri="{FF2B5EF4-FFF2-40B4-BE49-F238E27FC236}">
              <a16:creationId xmlns:a16="http://schemas.microsoft.com/office/drawing/2014/main" id="{00000000-0008-0000-0800-00004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2" name="Text Box 264">
          <a:extLst>
            <a:ext uri="{FF2B5EF4-FFF2-40B4-BE49-F238E27FC236}">
              <a16:creationId xmlns:a16="http://schemas.microsoft.com/office/drawing/2014/main" id="{00000000-0008-0000-0800-00004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3" name="Text Box 265">
          <a:extLst>
            <a:ext uri="{FF2B5EF4-FFF2-40B4-BE49-F238E27FC236}">
              <a16:creationId xmlns:a16="http://schemas.microsoft.com/office/drawing/2014/main" id="{00000000-0008-0000-0800-00004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4" name="Text Box 266">
          <a:extLst>
            <a:ext uri="{FF2B5EF4-FFF2-40B4-BE49-F238E27FC236}">
              <a16:creationId xmlns:a16="http://schemas.microsoft.com/office/drawing/2014/main" id="{00000000-0008-0000-0800-00004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5" name="Text Box 267">
          <a:extLst>
            <a:ext uri="{FF2B5EF4-FFF2-40B4-BE49-F238E27FC236}">
              <a16:creationId xmlns:a16="http://schemas.microsoft.com/office/drawing/2014/main" id="{00000000-0008-0000-0800-00004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6" name="Text Box 268">
          <a:extLst>
            <a:ext uri="{FF2B5EF4-FFF2-40B4-BE49-F238E27FC236}">
              <a16:creationId xmlns:a16="http://schemas.microsoft.com/office/drawing/2014/main" id="{00000000-0008-0000-0800-00004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7" name="Text Box 269">
          <a:extLst>
            <a:ext uri="{FF2B5EF4-FFF2-40B4-BE49-F238E27FC236}">
              <a16:creationId xmlns:a16="http://schemas.microsoft.com/office/drawing/2014/main" id="{00000000-0008-0000-0800-00004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8" name="Text Box 270">
          <a:extLst>
            <a:ext uri="{FF2B5EF4-FFF2-40B4-BE49-F238E27FC236}">
              <a16:creationId xmlns:a16="http://schemas.microsoft.com/office/drawing/2014/main" id="{00000000-0008-0000-0800-00004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9" name="Text Box 271">
          <a:extLst>
            <a:ext uri="{FF2B5EF4-FFF2-40B4-BE49-F238E27FC236}">
              <a16:creationId xmlns:a16="http://schemas.microsoft.com/office/drawing/2014/main" id="{00000000-0008-0000-0800-00004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0" name="Text Box 272">
          <a:extLst>
            <a:ext uri="{FF2B5EF4-FFF2-40B4-BE49-F238E27FC236}">
              <a16:creationId xmlns:a16="http://schemas.microsoft.com/office/drawing/2014/main" id="{00000000-0008-0000-0800-00004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1" name="Text Box 273">
          <a:extLst>
            <a:ext uri="{FF2B5EF4-FFF2-40B4-BE49-F238E27FC236}">
              <a16:creationId xmlns:a16="http://schemas.microsoft.com/office/drawing/2014/main" id="{00000000-0008-0000-0800-00004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2" name="Text Box 274">
          <a:extLst>
            <a:ext uri="{FF2B5EF4-FFF2-40B4-BE49-F238E27FC236}">
              <a16:creationId xmlns:a16="http://schemas.microsoft.com/office/drawing/2014/main" id="{00000000-0008-0000-0800-00005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3" name="Text Box 275">
          <a:extLst>
            <a:ext uri="{FF2B5EF4-FFF2-40B4-BE49-F238E27FC236}">
              <a16:creationId xmlns:a16="http://schemas.microsoft.com/office/drawing/2014/main" id="{00000000-0008-0000-0800-00005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4" name="Text Box 276">
          <a:extLst>
            <a:ext uri="{FF2B5EF4-FFF2-40B4-BE49-F238E27FC236}">
              <a16:creationId xmlns:a16="http://schemas.microsoft.com/office/drawing/2014/main" id="{00000000-0008-0000-0800-00005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5" name="Text Box 277">
          <a:extLst>
            <a:ext uri="{FF2B5EF4-FFF2-40B4-BE49-F238E27FC236}">
              <a16:creationId xmlns:a16="http://schemas.microsoft.com/office/drawing/2014/main" id="{00000000-0008-0000-0800-00005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6" name="Text Box 278">
          <a:extLst>
            <a:ext uri="{FF2B5EF4-FFF2-40B4-BE49-F238E27FC236}">
              <a16:creationId xmlns:a16="http://schemas.microsoft.com/office/drawing/2014/main" id="{00000000-0008-0000-0800-00005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7" name="Text Box 279">
          <a:extLst>
            <a:ext uri="{FF2B5EF4-FFF2-40B4-BE49-F238E27FC236}">
              <a16:creationId xmlns:a16="http://schemas.microsoft.com/office/drawing/2014/main" id="{00000000-0008-0000-0800-00005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8" name="Text Box 280">
          <a:extLst>
            <a:ext uri="{FF2B5EF4-FFF2-40B4-BE49-F238E27FC236}">
              <a16:creationId xmlns:a16="http://schemas.microsoft.com/office/drawing/2014/main" id="{00000000-0008-0000-0800-00005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9" name="Text Box 281">
          <a:extLst>
            <a:ext uri="{FF2B5EF4-FFF2-40B4-BE49-F238E27FC236}">
              <a16:creationId xmlns:a16="http://schemas.microsoft.com/office/drawing/2014/main" id="{00000000-0008-0000-0800-00005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0" name="Text Box 282">
          <a:extLst>
            <a:ext uri="{FF2B5EF4-FFF2-40B4-BE49-F238E27FC236}">
              <a16:creationId xmlns:a16="http://schemas.microsoft.com/office/drawing/2014/main" id="{00000000-0008-0000-0800-00005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1" name="Text Box 283">
          <a:extLst>
            <a:ext uri="{FF2B5EF4-FFF2-40B4-BE49-F238E27FC236}">
              <a16:creationId xmlns:a16="http://schemas.microsoft.com/office/drawing/2014/main" id="{00000000-0008-0000-0800-00005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2" name="Text Box 284">
          <a:extLst>
            <a:ext uri="{FF2B5EF4-FFF2-40B4-BE49-F238E27FC236}">
              <a16:creationId xmlns:a16="http://schemas.microsoft.com/office/drawing/2014/main" id="{00000000-0008-0000-0800-00005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3" name="Text Box 285">
          <a:extLst>
            <a:ext uri="{FF2B5EF4-FFF2-40B4-BE49-F238E27FC236}">
              <a16:creationId xmlns:a16="http://schemas.microsoft.com/office/drawing/2014/main" id="{00000000-0008-0000-0800-00005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4" name="Text Box 286">
          <a:extLst>
            <a:ext uri="{FF2B5EF4-FFF2-40B4-BE49-F238E27FC236}">
              <a16:creationId xmlns:a16="http://schemas.microsoft.com/office/drawing/2014/main" id="{00000000-0008-0000-0800-00005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5" name="Text Box 287">
          <a:extLst>
            <a:ext uri="{FF2B5EF4-FFF2-40B4-BE49-F238E27FC236}">
              <a16:creationId xmlns:a16="http://schemas.microsoft.com/office/drawing/2014/main" id="{00000000-0008-0000-0800-00005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6" name="Text Box 288">
          <a:extLst>
            <a:ext uri="{FF2B5EF4-FFF2-40B4-BE49-F238E27FC236}">
              <a16:creationId xmlns:a16="http://schemas.microsoft.com/office/drawing/2014/main" id="{00000000-0008-0000-0800-00005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7" name="Text Box 289">
          <a:extLst>
            <a:ext uri="{FF2B5EF4-FFF2-40B4-BE49-F238E27FC236}">
              <a16:creationId xmlns:a16="http://schemas.microsoft.com/office/drawing/2014/main" id="{00000000-0008-0000-0800-00005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8" name="Text Box 290">
          <a:extLst>
            <a:ext uri="{FF2B5EF4-FFF2-40B4-BE49-F238E27FC236}">
              <a16:creationId xmlns:a16="http://schemas.microsoft.com/office/drawing/2014/main" id="{00000000-0008-0000-0800-00006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9" name="Text Box 291">
          <a:extLst>
            <a:ext uri="{FF2B5EF4-FFF2-40B4-BE49-F238E27FC236}">
              <a16:creationId xmlns:a16="http://schemas.microsoft.com/office/drawing/2014/main" id="{00000000-0008-0000-0800-00006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0" name="Text Box 292">
          <a:extLst>
            <a:ext uri="{FF2B5EF4-FFF2-40B4-BE49-F238E27FC236}">
              <a16:creationId xmlns:a16="http://schemas.microsoft.com/office/drawing/2014/main" id="{00000000-0008-0000-0800-00006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1" name="Text Box 293">
          <a:extLst>
            <a:ext uri="{FF2B5EF4-FFF2-40B4-BE49-F238E27FC236}">
              <a16:creationId xmlns:a16="http://schemas.microsoft.com/office/drawing/2014/main" id="{00000000-0008-0000-0800-00006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2" name="Text Box 294">
          <a:extLst>
            <a:ext uri="{FF2B5EF4-FFF2-40B4-BE49-F238E27FC236}">
              <a16:creationId xmlns:a16="http://schemas.microsoft.com/office/drawing/2014/main" id="{00000000-0008-0000-0800-00006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3" name="Text Box 295">
          <a:extLst>
            <a:ext uri="{FF2B5EF4-FFF2-40B4-BE49-F238E27FC236}">
              <a16:creationId xmlns:a16="http://schemas.microsoft.com/office/drawing/2014/main" id="{00000000-0008-0000-0800-00006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4" name="Text Box 296">
          <a:extLst>
            <a:ext uri="{FF2B5EF4-FFF2-40B4-BE49-F238E27FC236}">
              <a16:creationId xmlns:a16="http://schemas.microsoft.com/office/drawing/2014/main" id="{00000000-0008-0000-0800-00006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5" name="Text Box 297">
          <a:extLst>
            <a:ext uri="{FF2B5EF4-FFF2-40B4-BE49-F238E27FC236}">
              <a16:creationId xmlns:a16="http://schemas.microsoft.com/office/drawing/2014/main" id="{00000000-0008-0000-0800-00006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6" name="Text Box 298">
          <a:extLst>
            <a:ext uri="{FF2B5EF4-FFF2-40B4-BE49-F238E27FC236}">
              <a16:creationId xmlns:a16="http://schemas.microsoft.com/office/drawing/2014/main" id="{00000000-0008-0000-0800-00006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7" name="Text Box 299">
          <a:extLst>
            <a:ext uri="{FF2B5EF4-FFF2-40B4-BE49-F238E27FC236}">
              <a16:creationId xmlns:a16="http://schemas.microsoft.com/office/drawing/2014/main" id="{00000000-0008-0000-0800-00006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8" name="Text Box 300">
          <a:extLst>
            <a:ext uri="{FF2B5EF4-FFF2-40B4-BE49-F238E27FC236}">
              <a16:creationId xmlns:a16="http://schemas.microsoft.com/office/drawing/2014/main" id="{00000000-0008-0000-0800-00006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9" name="Text Box 301">
          <a:extLst>
            <a:ext uri="{FF2B5EF4-FFF2-40B4-BE49-F238E27FC236}">
              <a16:creationId xmlns:a16="http://schemas.microsoft.com/office/drawing/2014/main" id="{00000000-0008-0000-0800-00006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0" name="Text Box 302">
          <a:extLst>
            <a:ext uri="{FF2B5EF4-FFF2-40B4-BE49-F238E27FC236}">
              <a16:creationId xmlns:a16="http://schemas.microsoft.com/office/drawing/2014/main" id="{00000000-0008-0000-0800-00006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1" name="Text Box 303">
          <a:extLst>
            <a:ext uri="{FF2B5EF4-FFF2-40B4-BE49-F238E27FC236}">
              <a16:creationId xmlns:a16="http://schemas.microsoft.com/office/drawing/2014/main" id="{00000000-0008-0000-0800-00006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2" name="Text Box 304">
          <a:extLst>
            <a:ext uri="{FF2B5EF4-FFF2-40B4-BE49-F238E27FC236}">
              <a16:creationId xmlns:a16="http://schemas.microsoft.com/office/drawing/2014/main" id="{00000000-0008-0000-0800-00006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3" name="Text Box 305">
          <a:extLst>
            <a:ext uri="{FF2B5EF4-FFF2-40B4-BE49-F238E27FC236}">
              <a16:creationId xmlns:a16="http://schemas.microsoft.com/office/drawing/2014/main" id="{00000000-0008-0000-0800-00006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4" name="Text Box 306">
          <a:extLst>
            <a:ext uri="{FF2B5EF4-FFF2-40B4-BE49-F238E27FC236}">
              <a16:creationId xmlns:a16="http://schemas.microsoft.com/office/drawing/2014/main" id="{00000000-0008-0000-0800-00007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5" name="Text Box 307">
          <a:extLst>
            <a:ext uri="{FF2B5EF4-FFF2-40B4-BE49-F238E27FC236}">
              <a16:creationId xmlns:a16="http://schemas.microsoft.com/office/drawing/2014/main" id="{00000000-0008-0000-0800-00007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6" name="Text Box 308">
          <a:extLst>
            <a:ext uri="{FF2B5EF4-FFF2-40B4-BE49-F238E27FC236}">
              <a16:creationId xmlns:a16="http://schemas.microsoft.com/office/drawing/2014/main" id="{00000000-0008-0000-0800-00007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7" name="Text Box 309">
          <a:extLst>
            <a:ext uri="{FF2B5EF4-FFF2-40B4-BE49-F238E27FC236}">
              <a16:creationId xmlns:a16="http://schemas.microsoft.com/office/drawing/2014/main" id="{00000000-0008-0000-0800-00007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8" name="Text Box 310">
          <a:extLst>
            <a:ext uri="{FF2B5EF4-FFF2-40B4-BE49-F238E27FC236}">
              <a16:creationId xmlns:a16="http://schemas.microsoft.com/office/drawing/2014/main" id="{00000000-0008-0000-0800-00007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9" name="Text Box 311">
          <a:extLst>
            <a:ext uri="{FF2B5EF4-FFF2-40B4-BE49-F238E27FC236}">
              <a16:creationId xmlns:a16="http://schemas.microsoft.com/office/drawing/2014/main" id="{00000000-0008-0000-0800-00007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0" name="Text Box 312">
          <a:extLst>
            <a:ext uri="{FF2B5EF4-FFF2-40B4-BE49-F238E27FC236}">
              <a16:creationId xmlns:a16="http://schemas.microsoft.com/office/drawing/2014/main" id="{00000000-0008-0000-0800-00007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1" name="Text Box 313">
          <a:extLst>
            <a:ext uri="{FF2B5EF4-FFF2-40B4-BE49-F238E27FC236}">
              <a16:creationId xmlns:a16="http://schemas.microsoft.com/office/drawing/2014/main" id="{00000000-0008-0000-0800-00007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2" name="Text Box 314">
          <a:extLst>
            <a:ext uri="{FF2B5EF4-FFF2-40B4-BE49-F238E27FC236}">
              <a16:creationId xmlns:a16="http://schemas.microsoft.com/office/drawing/2014/main" id="{00000000-0008-0000-0800-00007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3" name="Text Box 315">
          <a:extLst>
            <a:ext uri="{FF2B5EF4-FFF2-40B4-BE49-F238E27FC236}">
              <a16:creationId xmlns:a16="http://schemas.microsoft.com/office/drawing/2014/main" id="{00000000-0008-0000-0800-00007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4" name="Text Box 316">
          <a:extLst>
            <a:ext uri="{FF2B5EF4-FFF2-40B4-BE49-F238E27FC236}">
              <a16:creationId xmlns:a16="http://schemas.microsoft.com/office/drawing/2014/main" id="{00000000-0008-0000-0800-00007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5" name="Text Box 317">
          <a:extLst>
            <a:ext uri="{FF2B5EF4-FFF2-40B4-BE49-F238E27FC236}">
              <a16:creationId xmlns:a16="http://schemas.microsoft.com/office/drawing/2014/main" id="{00000000-0008-0000-0800-00007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6" name="Text Box 318">
          <a:extLst>
            <a:ext uri="{FF2B5EF4-FFF2-40B4-BE49-F238E27FC236}">
              <a16:creationId xmlns:a16="http://schemas.microsoft.com/office/drawing/2014/main" id="{00000000-0008-0000-0800-00007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7" name="Text Box 319">
          <a:extLst>
            <a:ext uri="{FF2B5EF4-FFF2-40B4-BE49-F238E27FC236}">
              <a16:creationId xmlns:a16="http://schemas.microsoft.com/office/drawing/2014/main" id="{00000000-0008-0000-0800-00007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8" name="Text Box 320">
          <a:extLst>
            <a:ext uri="{FF2B5EF4-FFF2-40B4-BE49-F238E27FC236}">
              <a16:creationId xmlns:a16="http://schemas.microsoft.com/office/drawing/2014/main" id="{00000000-0008-0000-0800-00007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39" name="Text Box 28">
          <a:extLst>
            <a:ext uri="{FF2B5EF4-FFF2-40B4-BE49-F238E27FC236}">
              <a16:creationId xmlns:a16="http://schemas.microsoft.com/office/drawing/2014/main" id="{00000000-0008-0000-0800-00007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0" name="Text Box 29">
          <a:extLst>
            <a:ext uri="{FF2B5EF4-FFF2-40B4-BE49-F238E27FC236}">
              <a16:creationId xmlns:a16="http://schemas.microsoft.com/office/drawing/2014/main" id="{00000000-0008-0000-0800-00008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1" name="Text Box 30">
          <a:extLst>
            <a:ext uri="{FF2B5EF4-FFF2-40B4-BE49-F238E27FC236}">
              <a16:creationId xmlns:a16="http://schemas.microsoft.com/office/drawing/2014/main" id="{00000000-0008-0000-0800-00008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2" name="Text Box 31">
          <a:extLst>
            <a:ext uri="{FF2B5EF4-FFF2-40B4-BE49-F238E27FC236}">
              <a16:creationId xmlns:a16="http://schemas.microsoft.com/office/drawing/2014/main" id="{00000000-0008-0000-0800-00008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3" name="Text Box 32">
          <a:extLst>
            <a:ext uri="{FF2B5EF4-FFF2-40B4-BE49-F238E27FC236}">
              <a16:creationId xmlns:a16="http://schemas.microsoft.com/office/drawing/2014/main" id="{00000000-0008-0000-0800-00008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4" name="Text Box 33">
          <a:extLst>
            <a:ext uri="{FF2B5EF4-FFF2-40B4-BE49-F238E27FC236}">
              <a16:creationId xmlns:a16="http://schemas.microsoft.com/office/drawing/2014/main" id="{00000000-0008-0000-0800-00008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5" name="Text Box 34">
          <a:extLst>
            <a:ext uri="{FF2B5EF4-FFF2-40B4-BE49-F238E27FC236}">
              <a16:creationId xmlns:a16="http://schemas.microsoft.com/office/drawing/2014/main" id="{00000000-0008-0000-0800-00008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6" name="Text Box 35">
          <a:extLst>
            <a:ext uri="{FF2B5EF4-FFF2-40B4-BE49-F238E27FC236}">
              <a16:creationId xmlns:a16="http://schemas.microsoft.com/office/drawing/2014/main" id="{00000000-0008-0000-0800-00008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7" name="Text Box 36">
          <a:extLst>
            <a:ext uri="{FF2B5EF4-FFF2-40B4-BE49-F238E27FC236}">
              <a16:creationId xmlns:a16="http://schemas.microsoft.com/office/drawing/2014/main" id="{00000000-0008-0000-0800-00008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8" name="Text Box 37">
          <a:extLst>
            <a:ext uri="{FF2B5EF4-FFF2-40B4-BE49-F238E27FC236}">
              <a16:creationId xmlns:a16="http://schemas.microsoft.com/office/drawing/2014/main" id="{00000000-0008-0000-0800-00008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9" name="Text Box 38">
          <a:extLst>
            <a:ext uri="{FF2B5EF4-FFF2-40B4-BE49-F238E27FC236}">
              <a16:creationId xmlns:a16="http://schemas.microsoft.com/office/drawing/2014/main" id="{00000000-0008-0000-0800-00008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0" name="Text Box 39">
          <a:extLst>
            <a:ext uri="{FF2B5EF4-FFF2-40B4-BE49-F238E27FC236}">
              <a16:creationId xmlns:a16="http://schemas.microsoft.com/office/drawing/2014/main" id="{00000000-0008-0000-0800-00008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1" name="Text Box 40">
          <a:extLst>
            <a:ext uri="{FF2B5EF4-FFF2-40B4-BE49-F238E27FC236}">
              <a16:creationId xmlns:a16="http://schemas.microsoft.com/office/drawing/2014/main" id="{00000000-0008-0000-0800-00008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2" name="Text Box 41">
          <a:extLst>
            <a:ext uri="{FF2B5EF4-FFF2-40B4-BE49-F238E27FC236}">
              <a16:creationId xmlns:a16="http://schemas.microsoft.com/office/drawing/2014/main" id="{00000000-0008-0000-0800-00008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3" name="Text Box 42">
          <a:extLst>
            <a:ext uri="{FF2B5EF4-FFF2-40B4-BE49-F238E27FC236}">
              <a16:creationId xmlns:a16="http://schemas.microsoft.com/office/drawing/2014/main" id="{00000000-0008-0000-0800-00008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4" name="Text Box 43">
          <a:extLst>
            <a:ext uri="{FF2B5EF4-FFF2-40B4-BE49-F238E27FC236}">
              <a16:creationId xmlns:a16="http://schemas.microsoft.com/office/drawing/2014/main" id="{00000000-0008-0000-0800-00008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5" name="Text Box 44">
          <a:extLst>
            <a:ext uri="{FF2B5EF4-FFF2-40B4-BE49-F238E27FC236}">
              <a16:creationId xmlns:a16="http://schemas.microsoft.com/office/drawing/2014/main" id="{00000000-0008-0000-0800-00008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6" name="Text Box 45">
          <a:extLst>
            <a:ext uri="{FF2B5EF4-FFF2-40B4-BE49-F238E27FC236}">
              <a16:creationId xmlns:a16="http://schemas.microsoft.com/office/drawing/2014/main" id="{00000000-0008-0000-0800-00009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7" name="Text Box 46">
          <a:extLst>
            <a:ext uri="{FF2B5EF4-FFF2-40B4-BE49-F238E27FC236}">
              <a16:creationId xmlns:a16="http://schemas.microsoft.com/office/drawing/2014/main" id="{00000000-0008-0000-0800-00009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8" name="Text Box 47">
          <a:extLst>
            <a:ext uri="{FF2B5EF4-FFF2-40B4-BE49-F238E27FC236}">
              <a16:creationId xmlns:a16="http://schemas.microsoft.com/office/drawing/2014/main" id="{00000000-0008-0000-0800-00009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9" name="Text Box 48">
          <a:extLst>
            <a:ext uri="{FF2B5EF4-FFF2-40B4-BE49-F238E27FC236}">
              <a16:creationId xmlns:a16="http://schemas.microsoft.com/office/drawing/2014/main" id="{00000000-0008-0000-0800-00009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0" name="Text Box 49">
          <a:extLst>
            <a:ext uri="{FF2B5EF4-FFF2-40B4-BE49-F238E27FC236}">
              <a16:creationId xmlns:a16="http://schemas.microsoft.com/office/drawing/2014/main" id="{00000000-0008-0000-0800-00009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1" name="Text Box 50">
          <a:extLst>
            <a:ext uri="{FF2B5EF4-FFF2-40B4-BE49-F238E27FC236}">
              <a16:creationId xmlns:a16="http://schemas.microsoft.com/office/drawing/2014/main" id="{00000000-0008-0000-0800-00009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2" name="Text Box 51">
          <a:extLst>
            <a:ext uri="{FF2B5EF4-FFF2-40B4-BE49-F238E27FC236}">
              <a16:creationId xmlns:a16="http://schemas.microsoft.com/office/drawing/2014/main" id="{00000000-0008-0000-0800-00009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3" name="Text Box 52">
          <a:extLst>
            <a:ext uri="{FF2B5EF4-FFF2-40B4-BE49-F238E27FC236}">
              <a16:creationId xmlns:a16="http://schemas.microsoft.com/office/drawing/2014/main" id="{00000000-0008-0000-0800-00009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4" name="Text Box 53">
          <a:extLst>
            <a:ext uri="{FF2B5EF4-FFF2-40B4-BE49-F238E27FC236}">
              <a16:creationId xmlns:a16="http://schemas.microsoft.com/office/drawing/2014/main" id="{00000000-0008-0000-0800-00009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5" name="Text Box 54">
          <a:extLst>
            <a:ext uri="{FF2B5EF4-FFF2-40B4-BE49-F238E27FC236}">
              <a16:creationId xmlns:a16="http://schemas.microsoft.com/office/drawing/2014/main" id="{00000000-0008-0000-0800-00009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6" name="Text Box 55">
          <a:extLst>
            <a:ext uri="{FF2B5EF4-FFF2-40B4-BE49-F238E27FC236}">
              <a16:creationId xmlns:a16="http://schemas.microsoft.com/office/drawing/2014/main" id="{00000000-0008-0000-0800-00009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7" name="Text Box 56">
          <a:extLst>
            <a:ext uri="{FF2B5EF4-FFF2-40B4-BE49-F238E27FC236}">
              <a16:creationId xmlns:a16="http://schemas.microsoft.com/office/drawing/2014/main" id="{00000000-0008-0000-0800-00009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8" name="Text Box 57">
          <a:extLst>
            <a:ext uri="{FF2B5EF4-FFF2-40B4-BE49-F238E27FC236}">
              <a16:creationId xmlns:a16="http://schemas.microsoft.com/office/drawing/2014/main" id="{00000000-0008-0000-0800-00009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9" name="Text Box 58">
          <a:extLst>
            <a:ext uri="{FF2B5EF4-FFF2-40B4-BE49-F238E27FC236}">
              <a16:creationId xmlns:a16="http://schemas.microsoft.com/office/drawing/2014/main" id="{00000000-0008-0000-0800-00009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0" name="Text Box 59">
          <a:extLst>
            <a:ext uri="{FF2B5EF4-FFF2-40B4-BE49-F238E27FC236}">
              <a16:creationId xmlns:a16="http://schemas.microsoft.com/office/drawing/2014/main" id="{00000000-0008-0000-0800-00009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1" name="Text Box 60">
          <a:extLst>
            <a:ext uri="{FF2B5EF4-FFF2-40B4-BE49-F238E27FC236}">
              <a16:creationId xmlns:a16="http://schemas.microsoft.com/office/drawing/2014/main" id="{00000000-0008-0000-0800-00009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2" name="Text Box 61">
          <a:extLst>
            <a:ext uri="{FF2B5EF4-FFF2-40B4-BE49-F238E27FC236}">
              <a16:creationId xmlns:a16="http://schemas.microsoft.com/office/drawing/2014/main" id="{00000000-0008-0000-0800-0000A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3" name="Text Box 62">
          <a:extLst>
            <a:ext uri="{FF2B5EF4-FFF2-40B4-BE49-F238E27FC236}">
              <a16:creationId xmlns:a16="http://schemas.microsoft.com/office/drawing/2014/main" id="{00000000-0008-0000-0800-0000A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4" name="Text Box 63">
          <a:extLst>
            <a:ext uri="{FF2B5EF4-FFF2-40B4-BE49-F238E27FC236}">
              <a16:creationId xmlns:a16="http://schemas.microsoft.com/office/drawing/2014/main" id="{00000000-0008-0000-0800-0000A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5" name="Text Box 64">
          <a:extLst>
            <a:ext uri="{FF2B5EF4-FFF2-40B4-BE49-F238E27FC236}">
              <a16:creationId xmlns:a16="http://schemas.microsoft.com/office/drawing/2014/main" id="{00000000-0008-0000-0800-0000A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6" name="Text Box 65">
          <a:extLst>
            <a:ext uri="{FF2B5EF4-FFF2-40B4-BE49-F238E27FC236}">
              <a16:creationId xmlns:a16="http://schemas.microsoft.com/office/drawing/2014/main" id="{00000000-0008-0000-0800-0000A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7" name="Text Box 66">
          <a:extLst>
            <a:ext uri="{FF2B5EF4-FFF2-40B4-BE49-F238E27FC236}">
              <a16:creationId xmlns:a16="http://schemas.microsoft.com/office/drawing/2014/main" id="{00000000-0008-0000-0800-0000A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8" name="Text Box 67">
          <a:extLst>
            <a:ext uri="{FF2B5EF4-FFF2-40B4-BE49-F238E27FC236}">
              <a16:creationId xmlns:a16="http://schemas.microsoft.com/office/drawing/2014/main" id="{00000000-0008-0000-0800-0000A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9" name="Text Box 68">
          <a:extLst>
            <a:ext uri="{FF2B5EF4-FFF2-40B4-BE49-F238E27FC236}">
              <a16:creationId xmlns:a16="http://schemas.microsoft.com/office/drawing/2014/main" id="{00000000-0008-0000-0800-0000A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0" name="Text Box 69">
          <a:extLst>
            <a:ext uri="{FF2B5EF4-FFF2-40B4-BE49-F238E27FC236}">
              <a16:creationId xmlns:a16="http://schemas.microsoft.com/office/drawing/2014/main" id="{00000000-0008-0000-0800-0000A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1" name="Text Box 70">
          <a:extLst>
            <a:ext uri="{FF2B5EF4-FFF2-40B4-BE49-F238E27FC236}">
              <a16:creationId xmlns:a16="http://schemas.microsoft.com/office/drawing/2014/main" id="{00000000-0008-0000-0800-0000A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2" name="Text Box 71">
          <a:extLst>
            <a:ext uri="{FF2B5EF4-FFF2-40B4-BE49-F238E27FC236}">
              <a16:creationId xmlns:a16="http://schemas.microsoft.com/office/drawing/2014/main" id="{00000000-0008-0000-0800-0000A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3" name="Text Box 72">
          <a:extLst>
            <a:ext uri="{FF2B5EF4-FFF2-40B4-BE49-F238E27FC236}">
              <a16:creationId xmlns:a16="http://schemas.microsoft.com/office/drawing/2014/main" id="{00000000-0008-0000-0800-0000A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4" name="Text Box 73">
          <a:extLst>
            <a:ext uri="{FF2B5EF4-FFF2-40B4-BE49-F238E27FC236}">
              <a16:creationId xmlns:a16="http://schemas.microsoft.com/office/drawing/2014/main" id="{00000000-0008-0000-0800-0000A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5" name="Text Box 74">
          <a:extLst>
            <a:ext uri="{FF2B5EF4-FFF2-40B4-BE49-F238E27FC236}">
              <a16:creationId xmlns:a16="http://schemas.microsoft.com/office/drawing/2014/main" id="{00000000-0008-0000-0800-0000A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6" name="Text Box 75">
          <a:extLst>
            <a:ext uri="{FF2B5EF4-FFF2-40B4-BE49-F238E27FC236}">
              <a16:creationId xmlns:a16="http://schemas.microsoft.com/office/drawing/2014/main" id="{00000000-0008-0000-0800-0000A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7" name="Text Box 76">
          <a:extLst>
            <a:ext uri="{FF2B5EF4-FFF2-40B4-BE49-F238E27FC236}">
              <a16:creationId xmlns:a16="http://schemas.microsoft.com/office/drawing/2014/main" id="{00000000-0008-0000-0800-0000A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8" name="Text Box 77">
          <a:extLst>
            <a:ext uri="{FF2B5EF4-FFF2-40B4-BE49-F238E27FC236}">
              <a16:creationId xmlns:a16="http://schemas.microsoft.com/office/drawing/2014/main" id="{00000000-0008-0000-0800-0000B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9" name="Text Box 78">
          <a:extLst>
            <a:ext uri="{FF2B5EF4-FFF2-40B4-BE49-F238E27FC236}">
              <a16:creationId xmlns:a16="http://schemas.microsoft.com/office/drawing/2014/main" id="{00000000-0008-0000-0800-0000B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0" name="Text Box 79">
          <a:extLst>
            <a:ext uri="{FF2B5EF4-FFF2-40B4-BE49-F238E27FC236}">
              <a16:creationId xmlns:a16="http://schemas.microsoft.com/office/drawing/2014/main" id="{00000000-0008-0000-0800-0000B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1" name="Text Box 80">
          <a:extLst>
            <a:ext uri="{FF2B5EF4-FFF2-40B4-BE49-F238E27FC236}">
              <a16:creationId xmlns:a16="http://schemas.microsoft.com/office/drawing/2014/main" id="{00000000-0008-0000-0800-0000B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2" name="Text Box 81">
          <a:extLst>
            <a:ext uri="{FF2B5EF4-FFF2-40B4-BE49-F238E27FC236}">
              <a16:creationId xmlns:a16="http://schemas.microsoft.com/office/drawing/2014/main" id="{00000000-0008-0000-0800-0000B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3" name="Text Box 82">
          <a:extLst>
            <a:ext uri="{FF2B5EF4-FFF2-40B4-BE49-F238E27FC236}">
              <a16:creationId xmlns:a16="http://schemas.microsoft.com/office/drawing/2014/main" id="{00000000-0008-0000-0800-0000B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4" name="Text Box 83">
          <a:extLst>
            <a:ext uri="{FF2B5EF4-FFF2-40B4-BE49-F238E27FC236}">
              <a16:creationId xmlns:a16="http://schemas.microsoft.com/office/drawing/2014/main" id="{00000000-0008-0000-0800-0000B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5" name="Text Box 84">
          <a:extLst>
            <a:ext uri="{FF2B5EF4-FFF2-40B4-BE49-F238E27FC236}">
              <a16:creationId xmlns:a16="http://schemas.microsoft.com/office/drawing/2014/main" id="{00000000-0008-0000-0800-0000B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6" name="Text Box 85">
          <a:extLst>
            <a:ext uri="{FF2B5EF4-FFF2-40B4-BE49-F238E27FC236}">
              <a16:creationId xmlns:a16="http://schemas.microsoft.com/office/drawing/2014/main" id="{00000000-0008-0000-0800-0000B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7" name="Text Box 86">
          <a:extLst>
            <a:ext uri="{FF2B5EF4-FFF2-40B4-BE49-F238E27FC236}">
              <a16:creationId xmlns:a16="http://schemas.microsoft.com/office/drawing/2014/main" id="{00000000-0008-0000-0800-0000B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8" name="Text Box 87">
          <a:extLst>
            <a:ext uri="{FF2B5EF4-FFF2-40B4-BE49-F238E27FC236}">
              <a16:creationId xmlns:a16="http://schemas.microsoft.com/office/drawing/2014/main" id="{00000000-0008-0000-0800-0000B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9" name="Text Box 88">
          <a:extLst>
            <a:ext uri="{FF2B5EF4-FFF2-40B4-BE49-F238E27FC236}">
              <a16:creationId xmlns:a16="http://schemas.microsoft.com/office/drawing/2014/main" id="{00000000-0008-0000-0800-0000B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0" name="Text Box 89">
          <a:extLst>
            <a:ext uri="{FF2B5EF4-FFF2-40B4-BE49-F238E27FC236}">
              <a16:creationId xmlns:a16="http://schemas.microsoft.com/office/drawing/2014/main" id="{00000000-0008-0000-0800-0000B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1" name="Text Box 90">
          <a:extLst>
            <a:ext uri="{FF2B5EF4-FFF2-40B4-BE49-F238E27FC236}">
              <a16:creationId xmlns:a16="http://schemas.microsoft.com/office/drawing/2014/main" id="{00000000-0008-0000-0800-0000B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2" name="Text Box 91">
          <a:extLst>
            <a:ext uri="{FF2B5EF4-FFF2-40B4-BE49-F238E27FC236}">
              <a16:creationId xmlns:a16="http://schemas.microsoft.com/office/drawing/2014/main" id="{00000000-0008-0000-0800-0000B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3" name="Text Box 92">
          <a:extLst>
            <a:ext uri="{FF2B5EF4-FFF2-40B4-BE49-F238E27FC236}">
              <a16:creationId xmlns:a16="http://schemas.microsoft.com/office/drawing/2014/main" id="{00000000-0008-0000-0800-0000B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4" name="Text Box 93">
          <a:extLst>
            <a:ext uri="{FF2B5EF4-FFF2-40B4-BE49-F238E27FC236}">
              <a16:creationId xmlns:a16="http://schemas.microsoft.com/office/drawing/2014/main" id="{00000000-0008-0000-0800-0000C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5" name="Text Box 94">
          <a:extLst>
            <a:ext uri="{FF2B5EF4-FFF2-40B4-BE49-F238E27FC236}">
              <a16:creationId xmlns:a16="http://schemas.microsoft.com/office/drawing/2014/main" id="{00000000-0008-0000-0800-0000C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6" name="Text Box 95">
          <a:extLst>
            <a:ext uri="{FF2B5EF4-FFF2-40B4-BE49-F238E27FC236}">
              <a16:creationId xmlns:a16="http://schemas.microsoft.com/office/drawing/2014/main" id="{00000000-0008-0000-0800-0000C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7" name="Text Box 96">
          <a:extLst>
            <a:ext uri="{FF2B5EF4-FFF2-40B4-BE49-F238E27FC236}">
              <a16:creationId xmlns:a16="http://schemas.microsoft.com/office/drawing/2014/main" id="{00000000-0008-0000-0800-0000C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8" name="Text Box 97">
          <a:extLst>
            <a:ext uri="{FF2B5EF4-FFF2-40B4-BE49-F238E27FC236}">
              <a16:creationId xmlns:a16="http://schemas.microsoft.com/office/drawing/2014/main" id="{00000000-0008-0000-0800-0000C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09" name="Text Box 100">
          <a:extLst>
            <a:ext uri="{FF2B5EF4-FFF2-40B4-BE49-F238E27FC236}">
              <a16:creationId xmlns:a16="http://schemas.microsoft.com/office/drawing/2014/main" id="{00000000-0008-0000-0800-0000C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0" name="Text Box 101">
          <a:extLst>
            <a:ext uri="{FF2B5EF4-FFF2-40B4-BE49-F238E27FC236}">
              <a16:creationId xmlns:a16="http://schemas.microsoft.com/office/drawing/2014/main" id="{00000000-0008-0000-0800-0000C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1" name="Text Box 102">
          <a:extLst>
            <a:ext uri="{FF2B5EF4-FFF2-40B4-BE49-F238E27FC236}">
              <a16:creationId xmlns:a16="http://schemas.microsoft.com/office/drawing/2014/main" id="{00000000-0008-0000-0800-0000C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2" name="Text Box 103">
          <a:extLst>
            <a:ext uri="{FF2B5EF4-FFF2-40B4-BE49-F238E27FC236}">
              <a16:creationId xmlns:a16="http://schemas.microsoft.com/office/drawing/2014/main" id="{00000000-0008-0000-0800-0000C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3" name="Text Box 104">
          <a:extLst>
            <a:ext uri="{FF2B5EF4-FFF2-40B4-BE49-F238E27FC236}">
              <a16:creationId xmlns:a16="http://schemas.microsoft.com/office/drawing/2014/main" id="{00000000-0008-0000-0800-0000C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4" name="Text Box 105">
          <a:extLst>
            <a:ext uri="{FF2B5EF4-FFF2-40B4-BE49-F238E27FC236}">
              <a16:creationId xmlns:a16="http://schemas.microsoft.com/office/drawing/2014/main" id="{00000000-0008-0000-0800-0000C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5" name="Text Box 106">
          <a:extLst>
            <a:ext uri="{FF2B5EF4-FFF2-40B4-BE49-F238E27FC236}">
              <a16:creationId xmlns:a16="http://schemas.microsoft.com/office/drawing/2014/main" id="{00000000-0008-0000-0800-0000C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6" name="Text Box 107">
          <a:extLst>
            <a:ext uri="{FF2B5EF4-FFF2-40B4-BE49-F238E27FC236}">
              <a16:creationId xmlns:a16="http://schemas.microsoft.com/office/drawing/2014/main" id="{00000000-0008-0000-0800-0000C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7" name="Text Box 108">
          <a:extLst>
            <a:ext uri="{FF2B5EF4-FFF2-40B4-BE49-F238E27FC236}">
              <a16:creationId xmlns:a16="http://schemas.microsoft.com/office/drawing/2014/main" id="{00000000-0008-0000-0800-0000C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8" name="Text Box 109">
          <a:extLst>
            <a:ext uri="{FF2B5EF4-FFF2-40B4-BE49-F238E27FC236}">
              <a16:creationId xmlns:a16="http://schemas.microsoft.com/office/drawing/2014/main" id="{00000000-0008-0000-0800-0000C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9" name="Text Box 110">
          <a:extLst>
            <a:ext uri="{FF2B5EF4-FFF2-40B4-BE49-F238E27FC236}">
              <a16:creationId xmlns:a16="http://schemas.microsoft.com/office/drawing/2014/main" id="{00000000-0008-0000-0800-0000C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0" name="Text Box 111">
          <a:extLst>
            <a:ext uri="{FF2B5EF4-FFF2-40B4-BE49-F238E27FC236}">
              <a16:creationId xmlns:a16="http://schemas.microsoft.com/office/drawing/2014/main" id="{00000000-0008-0000-0800-0000D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1" name="Text Box 119">
          <a:extLst>
            <a:ext uri="{FF2B5EF4-FFF2-40B4-BE49-F238E27FC236}">
              <a16:creationId xmlns:a16="http://schemas.microsoft.com/office/drawing/2014/main" id="{00000000-0008-0000-0800-0000D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2" name="Text Box 120">
          <a:extLst>
            <a:ext uri="{FF2B5EF4-FFF2-40B4-BE49-F238E27FC236}">
              <a16:creationId xmlns:a16="http://schemas.microsoft.com/office/drawing/2014/main" id="{00000000-0008-0000-0800-0000D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3" name="Text Box 121">
          <a:extLst>
            <a:ext uri="{FF2B5EF4-FFF2-40B4-BE49-F238E27FC236}">
              <a16:creationId xmlns:a16="http://schemas.microsoft.com/office/drawing/2014/main" id="{00000000-0008-0000-0800-0000D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4" name="Text Box 122">
          <a:extLst>
            <a:ext uri="{FF2B5EF4-FFF2-40B4-BE49-F238E27FC236}">
              <a16:creationId xmlns:a16="http://schemas.microsoft.com/office/drawing/2014/main" id="{00000000-0008-0000-0800-0000D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5" name="Text Box 123">
          <a:extLst>
            <a:ext uri="{FF2B5EF4-FFF2-40B4-BE49-F238E27FC236}">
              <a16:creationId xmlns:a16="http://schemas.microsoft.com/office/drawing/2014/main" id="{00000000-0008-0000-0800-0000D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6" name="Text Box 124">
          <a:extLst>
            <a:ext uri="{FF2B5EF4-FFF2-40B4-BE49-F238E27FC236}">
              <a16:creationId xmlns:a16="http://schemas.microsoft.com/office/drawing/2014/main" id="{00000000-0008-0000-0800-0000D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7" name="Text Box 125">
          <a:extLst>
            <a:ext uri="{FF2B5EF4-FFF2-40B4-BE49-F238E27FC236}">
              <a16:creationId xmlns:a16="http://schemas.microsoft.com/office/drawing/2014/main" id="{00000000-0008-0000-0800-0000D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8" name="Text Box 126">
          <a:extLst>
            <a:ext uri="{FF2B5EF4-FFF2-40B4-BE49-F238E27FC236}">
              <a16:creationId xmlns:a16="http://schemas.microsoft.com/office/drawing/2014/main" id="{00000000-0008-0000-0800-0000D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9" name="Text Box 127">
          <a:extLst>
            <a:ext uri="{FF2B5EF4-FFF2-40B4-BE49-F238E27FC236}">
              <a16:creationId xmlns:a16="http://schemas.microsoft.com/office/drawing/2014/main" id="{00000000-0008-0000-0800-0000D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0" name="Text Box 128">
          <a:extLst>
            <a:ext uri="{FF2B5EF4-FFF2-40B4-BE49-F238E27FC236}">
              <a16:creationId xmlns:a16="http://schemas.microsoft.com/office/drawing/2014/main" id="{00000000-0008-0000-0800-0000D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1" name="Text Box 129">
          <a:extLst>
            <a:ext uri="{FF2B5EF4-FFF2-40B4-BE49-F238E27FC236}">
              <a16:creationId xmlns:a16="http://schemas.microsoft.com/office/drawing/2014/main" id="{00000000-0008-0000-0800-0000D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2" name="Text Box 130">
          <a:extLst>
            <a:ext uri="{FF2B5EF4-FFF2-40B4-BE49-F238E27FC236}">
              <a16:creationId xmlns:a16="http://schemas.microsoft.com/office/drawing/2014/main" id="{00000000-0008-0000-0800-0000D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3" name="Text Box 133">
          <a:extLst>
            <a:ext uri="{FF2B5EF4-FFF2-40B4-BE49-F238E27FC236}">
              <a16:creationId xmlns:a16="http://schemas.microsoft.com/office/drawing/2014/main" id="{00000000-0008-0000-0800-0000D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4" name="Text Box 134">
          <a:extLst>
            <a:ext uri="{FF2B5EF4-FFF2-40B4-BE49-F238E27FC236}">
              <a16:creationId xmlns:a16="http://schemas.microsoft.com/office/drawing/2014/main" id="{00000000-0008-0000-0800-0000D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5" name="Text Box 135">
          <a:extLst>
            <a:ext uri="{FF2B5EF4-FFF2-40B4-BE49-F238E27FC236}">
              <a16:creationId xmlns:a16="http://schemas.microsoft.com/office/drawing/2014/main" id="{00000000-0008-0000-0800-0000D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6" name="Text Box 136">
          <a:extLst>
            <a:ext uri="{FF2B5EF4-FFF2-40B4-BE49-F238E27FC236}">
              <a16:creationId xmlns:a16="http://schemas.microsoft.com/office/drawing/2014/main" id="{00000000-0008-0000-0800-0000E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7" name="Text Box 137">
          <a:extLst>
            <a:ext uri="{FF2B5EF4-FFF2-40B4-BE49-F238E27FC236}">
              <a16:creationId xmlns:a16="http://schemas.microsoft.com/office/drawing/2014/main" id="{00000000-0008-0000-0800-0000E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8" name="Text Box 138">
          <a:extLst>
            <a:ext uri="{FF2B5EF4-FFF2-40B4-BE49-F238E27FC236}">
              <a16:creationId xmlns:a16="http://schemas.microsoft.com/office/drawing/2014/main" id="{00000000-0008-0000-0800-0000E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9" name="Text Box 139">
          <a:extLst>
            <a:ext uri="{FF2B5EF4-FFF2-40B4-BE49-F238E27FC236}">
              <a16:creationId xmlns:a16="http://schemas.microsoft.com/office/drawing/2014/main" id="{00000000-0008-0000-0800-0000E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0" name="Text Box 140">
          <a:extLst>
            <a:ext uri="{FF2B5EF4-FFF2-40B4-BE49-F238E27FC236}">
              <a16:creationId xmlns:a16="http://schemas.microsoft.com/office/drawing/2014/main" id="{00000000-0008-0000-0800-0000E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1" name="Text Box 141">
          <a:extLst>
            <a:ext uri="{FF2B5EF4-FFF2-40B4-BE49-F238E27FC236}">
              <a16:creationId xmlns:a16="http://schemas.microsoft.com/office/drawing/2014/main" id="{00000000-0008-0000-0800-0000E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2" name="Text Box 142">
          <a:extLst>
            <a:ext uri="{FF2B5EF4-FFF2-40B4-BE49-F238E27FC236}">
              <a16:creationId xmlns:a16="http://schemas.microsoft.com/office/drawing/2014/main" id="{00000000-0008-0000-0800-0000E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3" name="Text Box 143">
          <a:extLst>
            <a:ext uri="{FF2B5EF4-FFF2-40B4-BE49-F238E27FC236}">
              <a16:creationId xmlns:a16="http://schemas.microsoft.com/office/drawing/2014/main" id="{00000000-0008-0000-0800-0000E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4" name="Text Box 144">
          <a:extLst>
            <a:ext uri="{FF2B5EF4-FFF2-40B4-BE49-F238E27FC236}">
              <a16:creationId xmlns:a16="http://schemas.microsoft.com/office/drawing/2014/main" id="{00000000-0008-0000-0800-0000E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5" name="Text Box 145">
          <a:extLst>
            <a:ext uri="{FF2B5EF4-FFF2-40B4-BE49-F238E27FC236}">
              <a16:creationId xmlns:a16="http://schemas.microsoft.com/office/drawing/2014/main" id="{00000000-0008-0000-0800-0000E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6" name="Text Box 146">
          <a:extLst>
            <a:ext uri="{FF2B5EF4-FFF2-40B4-BE49-F238E27FC236}">
              <a16:creationId xmlns:a16="http://schemas.microsoft.com/office/drawing/2014/main" id="{00000000-0008-0000-0800-0000E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7" name="Text Box 147">
          <a:extLst>
            <a:ext uri="{FF2B5EF4-FFF2-40B4-BE49-F238E27FC236}">
              <a16:creationId xmlns:a16="http://schemas.microsoft.com/office/drawing/2014/main" id="{00000000-0008-0000-0800-0000E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8" name="Text Box 148">
          <a:extLst>
            <a:ext uri="{FF2B5EF4-FFF2-40B4-BE49-F238E27FC236}">
              <a16:creationId xmlns:a16="http://schemas.microsoft.com/office/drawing/2014/main" id="{00000000-0008-0000-0800-0000E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9" name="Text Box 149">
          <a:extLst>
            <a:ext uri="{FF2B5EF4-FFF2-40B4-BE49-F238E27FC236}">
              <a16:creationId xmlns:a16="http://schemas.microsoft.com/office/drawing/2014/main" id="{00000000-0008-0000-0800-0000E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0" name="Text Box 150">
          <a:extLst>
            <a:ext uri="{FF2B5EF4-FFF2-40B4-BE49-F238E27FC236}">
              <a16:creationId xmlns:a16="http://schemas.microsoft.com/office/drawing/2014/main" id="{00000000-0008-0000-0800-0000E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1" name="Text Box 151">
          <a:extLst>
            <a:ext uri="{FF2B5EF4-FFF2-40B4-BE49-F238E27FC236}">
              <a16:creationId xmlns:a16="http://schemas.microsoft.com/office/drawing/2014/main" id="{00000000-0008-0000-0800-0000E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2" name="Text Box 152">
          <a:extLst>
            <a:ext uri="{FF2B5EF4-FFF2-40B4-BE49-F238E27FC236}">
              <a16:creationId xmlns:a16="http://schemas.microsoft.com/office/drawing/2014/main" id="{00000000-0008-0000-0800-0000F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3" name="Text Box 153">
          <a:extLst>
            <a:ext uri="{FF2B5EF4-FFF2-40B4-BE49-F238E27FC236}">
              <a16:creationId xmlns:a16="http://schemas.microsoft.com/office/drawing/2014/main" id="{00000000-0008-0000-0800-0000F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4" name="Text Box 154">
          <a:extLst>
            <a:ext uri="{FF2B5EF4-FFF2-40B4-BE49-F238E27FC236}">
              <a16:creationId xmlns:a16="http://schemas.microsoft.com/office/drawing/2014/main" id="{00000000-0008-0000-0800-0000F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5" name="Text Box 155">
          <a:extLst>
            <a:ext uri="{FF2B5EF4-FFF2-40B4-BE49-F238E27FC236}">
              <a16:creationId xmlns:a16="http://schemas.microsoft.com/office/drawing/2014/main" id="{00000000-0008-0000-0800-0000F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6" name="Text Box 156">
          <a:extLst>
            <a:ext uri="{FF2B5EF4-FFF2-40B4-BE49-F238E27FC236}">
              <a16:creationId xmlns:a16="http://schemas.microsoft.com/office/drawing/2014/main" id="{00000000-0008-0000-0800-0000F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7" name="Text Box 157">
          <a:extLst>
            <a:ext uri="{FF2B5EF4-FFF2-40B4-BE49-F238E27FC236}">
              <a16:creationId xmlns:a16="http://schemas.microsoft.com/office/drawing/2014/main" id="{00000000-0008-0000-0800-0000F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8" name="Text Box 158">
          <a:extLst>
            <a:ext uri="{FF2B5EF4-FFF2-40B4-BE49-F238E27FC236}">
              <a16:creationId xmlns:a16="http://schemas.microsoft.com/office/drawing/2014/main" id="{00000000-0008-0000-0800-0000F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9" name="Text Box 159">
          <a:extLst>
            <a:ext uri="{FF2B5EF4-FFF2-40B4-BE49-F238E27FC236}">
              <a16:creationId xmlns:a16="http://schemas.microsoft.com/office/drawing/2014/main" id="{00000000-0008-0000-0800-0000F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0" name="Text Box 160">
          <a:extLst>
            <a:ext uri="{FF2B5EF4-FFF2-40B4-BE49-F238E27FC236}">
              <a16:creationId xmlns:a16="http://schemas.microsoft.com/office/drawing/2014/main" id="{00000000-0008-0000-0800-0000F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1" name="Text Box 161">
          <a:extLst>
            <a:ext uri="{FF2B5EF4-FFF2-40B4-BE49-F238E27FC236}">
              <a16:creationId xmlns:a16="http://schemas.microsoft.com/office/drawing/2014/main" id="{00000000-0008-0000-0800-0000F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2" name="Text Box 162">
          <a:extLst>
            <a:ext uri="{FF2B5EF4-FFF2-40B4-BE49-F238E27FC236}">
              <a16:creationId xmlns:a16="http://schemas.microsoft.com/office/drawing/2014/main" id="{00000000-0008-0000-0800-0000F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3" name="Text Box 163">
          <a:extLst>
            <a:ext uri="{FF2B5EF4-FFF2-40B4-BE49-F238E27FC236}">
              <a16:creationId xmlns:a16="http://schemas.microsoft.com/office/drawing/2014/main" id="{00000000-0008-0000-0800-0000F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4" name="Text Box 164">
          <a:extLst>
            <a:ext uri="{FF2B5EF4-FFF2-40B4-BE49-F238E27FC236}">
              <a16:creationId xmlns:a16="http://schemas.microsoft.com/office/drawing/2014/main" id="{00000000-0008-0000-0800-0000F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5" name="Text Box 165">
          <a:extLst>
            <a:ext uri="{FF2B5EF4-FFF2-40B4-BE49-F238E27FC236}">
              <a16:creationId xmlns:a16="http://schemas.microsoft.com/office/drawing/2014/main" id="{00000000-0008-0000-0800-0000F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6" name="Text Box 166">
          <a:extLst>
            <a:ext uri="{FF2B5EF4-FFF2-40B4-BE49-F238E27FC236}">
              <a16:creationId xmlns:a16="http://schemas.microsoft.com/office/drawing/2014/main" id="{00000000-0008-0000-0800-0000F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7" name="Text Box 167">
          <a:extLst>
            <a:ext uri="{FF2B5EF4-FFF2-40B4-BE49-F238E27FC236}">
              <a16:creationId xmlns:a16="http://schemas.microsoft.com/office/drawing/2014/main" id="{00000000-0008-0000-0800-0000F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8" name="Text Box 168">
          <a:extLst>
            <a:ext uri="{FF2B5EF4-FFF2-40B4-BE49-F238E27FC236}">
              <a16:creationId xmlns:a16="http://schemas.microsoft.com/office/drawing/2014/main" id="{00000000-0008-0000-0800-00000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9" name="Text Box 169">
          <a:extLst>
            <a:ext uri="{FF2B5EF4-FFF2-40B4-BE49-F238E27FC236}">
              <a16:creationId xmlns:a16="http://schemas.microsoft.com/office/drawing/2014/main" id="{00000000-0008-0000-0800-00000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0" name="Text Box 170">
          <a:extLst>
            <a:ext uri="{FF2B5EF4-FFF2-40B4-BE49-F238E27FC236}">
              <a16:creationId xmlns:a16="http://schemas.microsoft.com/office/drawing/2014/main" id="{00000000-0008-0000-0800-00000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1" name="Text Box 171">
          <a:extLst>
            <a:ext uri="{FF2B5EF4-FFF2-40B4-BE49-F238E27FC236}">
              <a16:creationId xmlns:a16="http://schemas.microsoft.com/office/drawing/2014/main" id="{00000000-0008-0000-0800-00000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2" name="Text Box 172">
          <a:extLst>
            <a:ext uri="{FF2B5EF4-FFF2-40B4-BE49-F238E27FC236}">
              <a16:creationId xmlns:a16="http://schemas.microsoft.com/office/drawing/2014/main" id="{00000000-0008-0000-0800-00000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3" name="Text Box 173">
          <a:extLst>
            <a:ext uri="{FF2B5EF4-FFF2-40B4-BE49-F238E27FC236}">
              <a16:creationId xmlns:a16="http://schemas.microsoft.com/office/drawing/2014/main" id="{00000000-0008-0000-0800-00000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4" name="Text Box 174">
          <a:extLst>
            <a:ext uri="{FF2B5EF4-FFF2-40B4-BE49-F238E27FC236}">
              <a16:creationId xmlns:a16="http://schemas.microsoft.com/office/drawing/2014/main" id="{00000000-0008-0000-0800-00000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5" name="Text Box 175">
          <a:extLst>
            <a:ext uri="{FF2B5EF4-FFF2-40B4-BE49-F238E27FC236}">
              <a16:creationId xmlns:a16="http://schemas.microsoft.com/office/drawing/2014/main" id="{00000000-0008-0000-0800-00000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6" name="Text Box 176">
          <a:extLst>
            <a:ext uri="{FF2B5EF4-FFF2-40B4-BE49-F238E27FC236}">
              <a16:creationId xmlns:a16="http://schemas.microsoft.com/office/drawing/2014/main" id="{00000000-0008-0000-0800-00000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7" name="Text Box 177">
          <a:extLst>
            <a:ext uri="{FF2B5EF4-FFF2-40B4-BE49-F238E27FC236}">
              <a16:creationId xmlns:a16="http://schemas.microsoft.com/office/drawing/2014/main" id="{00000000-0008-0000-0800-00000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8" name="Text Box 178">
          <a:extLst>
            <a:ext uri="{FF2B5EF4-FFF2-40B4-BE49-F238E27FC236}">
              <a16:creationId xmlns:a16="http://schemas.microsoft.com/office/drawing/2014/main" id="{00000000-0008-0000-0800-00000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9" name="Text Box 179">
          <a:extLst>
            <a:ext uri="{FF2B5EF4-FFF2-40B4-BE49-F238E27FC236}">
              <a16:creationId xmlns:a16="http://schemas.microsoft.com/office/drawing/2014/main" id="{00000000-0008-0000-0800-00000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0" name="Text Box 180">
          <a:extLst>
            <a:ext uri="{FF2B5EF4-FFF2-40B4-BE49-F238E27FC236}">
              <a16:creationId xmlns:a16="http://schemas.microsoft.com/office/drawing/2014/main" id="{00000000-0008-0000-0800-00000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1" name="Text Box 181">
          <a:extLst>
            <a:ext uri="{FF2B5EF4-FFF2-40B4-BE49-F238E27FC236}">
              <a16:creationId xmlns:a16="http://schemas.microsoft.com/office/drawing/2014/main" id="{00000000-0008-0000-0800-00000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2" name="Text Box 182">
          <a:extLst>
            <a:ext uri="{FF2B5EF4-FFF2-40B4-BE49-F238E27FC236}">
              <a16:creationId xmlns:a16="http://schemas.microsoft.com/office/drawing/2014/main" id="{00000000-0008-0000-0800-00000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3" name="Text Box 183">
          <a:extLst>
            <a:ext uri="{FF2B5EF4-FFF2-40B4-BE49-F238E27FC236}">
              <a16:creationId xmlns:a16="http://schemas.microsoft.com/office/drawing/2014/main" id="{00000000-0008-0000-0800-00000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4" name="Text Box 184">
          <a:extLst>
            <a:ext uri="{FF2B5EF4-FFF2-40B4-BE49-F238E27FC236}">
              <a16:creationId xmlns:a16="http://schemas.microsoft.com/office/drawing/2014/main" id="{00000000-0008-0000-0800-00001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5" name="Text Box 185">
          <a:extLst>
            <a:ext uri="{FF2B5EF4-FFF2-40B4-BE49-F238E27FC236}">
              <a16:creationId xmlns:a16="http://schemas.microsoft.com/office/drawing/2014/main" id="{00000000-0008-0000-0800-00001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6" name="Text Box 186">
          <a:extLst>
            <a:ext uri="{FF2B5EF4-FFF2-40B4-BE49-F238E27FC236}">
              <a16:creationId xmlns:a16="http://schemas.microsoft.com/office/drawing/2014/main" id="{00000000-0008-0000-0800-00001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7" name="Text Box 187">
          <a:extLst>
            <a:ext uri="{FF2B5EF4-FFF2-40B4-BE49-F238E27FC236}">
              <a16:creationId xmlns:a16="http://schemas.microsoft.com/office/drawing/2014/main" id="{00000000-0008-0000-0800-00001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8" name="Text Box 188">
          <a:extLst>
            <a:ext uri="{FF2B5EF4-FFF2-40B4-BE49-F238E27FC236}">
              <a16:creationId xmlns:a16="http://schemas.microsoft.com/office/drawing/2014/main" id="{00000000-0008-0000-0800-00001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9" name="Text Box 189">
          <a:extLst>
            <a:ext uri="{FF2B5EF4-FFF2-40B4-BE49-F238E27FC236}">
              <a16:creationId xmlns:a16="http://schemas.microsoft.com/office/drawing/2014/main" id="{00000000-0008-0000-0800-00001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0" name="Text Box 190">
          <a:extLst>
            <a:ext uri="{FF2B5EF4-FFF2-40B4-BE49-F238E27FC236}">
              <a16:creationId xmlns:a16="http://schemas.microsoft.com/office/drawing/2014/main" id="{00000000-0008-0000-0800-00001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1" name="Text Box 191">
          <a:extLst>
            <a:ext uri="{FF2B5EF4-FFF2-40B4-BE49-F238E27FC236}">
              <a16:creationId xmlns:a16="http://schemas.microsoft.com/office/drawing/2014/main" id="{00000000-0008-0000-0800-00001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2" name="Text Box 192">
          <a:extLst>
            <a:ext uri="{FF2B5EF4-FFF2-40B4-BE49-F238E27FC236}">
              <a16:creationId xmlns:a16="http://schemas.microsoft.com/office/drawing/2014/main" id="{00000000-0008-0000-0800-00001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3" name="Text Box 193">
          <a:extLst>
            <a:ext uri="{FF2B5EF4-FFF2-40B4-BE49-F238E27FC236}">
              <a16:creationId xmlns:a16="http://schemas.microsoft.com/office/drawing/2014/main" id="{00000000-0008-0000-0800-00001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4" name="Text Box 194">
          <a:extLst>
            <a:ext uri="{FF2B5EF4-FFF2-40B4-BE49-F238E27FC236}">
              <a16:creationId xmlns:a16="http://schemas.microsoft.com/office/drawing/2014/main" id="{00000000-0008-0000-0800-00001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5" name="Text Box 195">
          <a:extLst>
            <a:ext uri="{FF2B5EF4-FFF2-40B4-BE49-F238E27FC236}">
              <a16:creationId xmlns:a16="http://schemas.microsoft.com/office/drawing/2014/main" id="{00000000-0008-0000-0800-00001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6" name="Text Box 196">
          <a:extLst>
            <a:ext uri="{FF2B5EF4-FFF2-40B4-BE49-F238E27FC236}">
              <a16:creationId xmlns:a16="http://schemas.microsoft.com/office/drawing/2014/main" id="{00000000-0008-0000-0800-00001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7" name="Text Box 197">
          <a:extLst>
            <a:ext uri="{FF2B5EF4-FFF2-40B4-BE49-F238E27FC236}">
              <a16:creationId xmlns:a16="http://schemas.microsoft.com/office/drawing/2014/main" id="{00000000-0008-0000-0800-00001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8" name="Text Box 198">
          <a:extLst>
            <a:ext uri="{FF2B5EF4-FFF2-40B4-BE49-F238E27FC236}">
              <a16:creationId xmlns:a16="http://schemas.microsoft.com/office/drawing/2014/main" id="{00000000-0008-0000-0800-00001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9" name="Text Box 199">
          <a:extLst>
            <a:ext uri="{FF2B5EF4-FFF2-40B4-BE49-F238E27FC236}">
              <a16:creationId xmlns:a16="http://schemas.microsoft.com/office/drawing/2014/main" id="{00000000-0008-0000-0800-00001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0" name="Text Box 200">
          <a:extLst>
            <a:ext uri="{FF2B5EF4-FFF2-40B4-BE49-F238E27FC236}">
              <a16:creationId xmlns:a16="http://schemas.microsoft.com/office/drawing/2014/main" id="{00000000-0008-0000-0800-00002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1" name="Text Box 201">
          <a:extLst>
            <a:ext uri="{FF2B5EF4-FFF2-40B4-BE49-F238E27FC236}">
              <a16:creationId xmlns:a16="http://schemas.microsoft.com/office/drawing/2014/main" id="{00000000-0008-0000-0800-00002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2" name="Text Box 202">
          <a:extLst>
            <a:ext uri="{FF2B5EF4-FFF2-40B4-BE49-F238E27FC236}">
              <a16:creationId xmlns:a16="http://schemas.microsoft.com/office/drawing/2014/main" id="{00000000-0008-0000-0800-00002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3" name="Text Box 203">
          <a:extLst>
            <a:ext uri="{FF2B5EF4-FFF2-40B4-BE49-F238E27FC236}">
              <a16:creationId xmlns:a16="http://schemas.microsoft.com/office/drawing/2014/main" id="{00000000-0008-0000-0800-00002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4" name="Text Box 204">
          <a:extLst>
            <a:ext uri="{FF2B5EF4-FFF2-40B4-BE49-F238E27FC236}">
              <a16:creationId xmlns:a16="http://schemas.microsoft.com/office/drawing/2014/main" id="{00000000-0008-0000-0800-00002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5" name="Text Box 205">
          <a:extLst>
            <a:ext uri="{FF2B5EF4-FFF2-40B4-BE49-F238E27FC236}">
              <a16:creationId xmlns:a16="http://schemas.microsoft.com/office/drawing/2014/main" id="{00000000-0008-0000-0800-00002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6" name="Text Box 206">
          <a:extLst>
            <a:ext uri="{FF2B5EF4-FFF2-40B4-BE49-F238E27FC236}">
              <a16:creationId xmlns:a16="http://schemas.microsoft.com/office/drawing/2014/main" id="{00000000-0008-0000-0800-00002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7" name="Text Box 207">
          <a:extLst>
            <a:ext uri="{FF2B5EF4-FFF2-40B4-BE49-F238E27FC236}">
              <a16:creationId xmlns:a16="http://schemas.microsoft.com/office/drawing/2014/main" id="{00000000-0008-0000-0800-00002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8" name="Text Box 208">
          <a:extLst>
            <a:ext uri="{FF2B5EF4-FFF2-40B4-BE49-F238E27FC236}">
              <a16:creationId xmlns:a16="http://schemas.microsoft.com/office/drawing/2014/main" id="{00000000-0008-0000-0800-00002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9" name="Text Box 209">
          <a:extLst>
            <a:ext uri="{FF2B5EF4-FFF2-40B4-BE49-F238E27FC236}">
              <a16:creationId xmlns:a16="http://schemas.microsoft.com/office/drawing/2014/main" id="{00000000-0008-0000-0800-00002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0" name="Text Box 210">
          <a:extLst>
            <a:ext uri="{FF2B5EF4-FFF2-40B4-BE49-F238E27FC236}">
              <a16:creationId xmlns:a16="http://schemas.microsoft.com/office/drawing/2014/main" id="{00000000-0008-0000-0800-00002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1" name="Text Box 211">
          <a:extLst>
            <a:ext uri="{FF2B5EF4-FFF2-40B4-BE49-F238E27FC236}">
              <a16:creationId xmlns:a16="http://schemas.microsoft.com/office/drawing/2014/main" id="{00000000-0008-0000-0800-00002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2" name="Text Box 212">
          <a:extLst>
            <a:ext uri="{FF2B5EF4-FFF2-40B4-BE49-F238E27FC236}">
              <a16:creationId xmlns:a16="http://schemas.microsoft.com/office/drawing/2014/main" id="{00000000-0008-0000-0800-00002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3" name="Text Box 213">
          <a:extLst>
            <a:ext uri="{FF2B5EF4-FFF2-40B4-BE49-F238E27FC236}">
              <a16:creationId xmlns:a16="http://schemas.microsoft.com/office/drawing/2014/main" id="{00000000-0008-0000-0800-00002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4" name="Text Box 214">
          <a:extLst>
            <a:ext uri="{FF2B5EF4-FFF2-40B4-BE49-F238E27FC236}">
              <a16:creationId xmlns:a16="http://schemas.microsoft.com/office/drawing/2014/main" id="{00000000-0008-0000-0800-00002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5" name="Text Box 215">
          <a:extLst>
            <a:ext uri="{FF2B5EF4-FFF2-40B4-BE49-F238E27FC236}">
              <a16:creationId xmlns:a16="http://schemas.microsoft.com/office/drawing/2014/main" id="{00000000-0008-0000-0800-00002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6" name="Text Box 216">
          <a:extLst>
            <a:ext uri="{FF2B5EF4-FFF2-40B4-BE49-F238E27FC236}">
              <a16:creationId xmlns:a16="http://schemas.microsoft.com/office/drawing/2014/main" id="{00000000-0008-0000-0800-00003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7" name="Text Box 217">
          <a:extLst>
            <a:ext uri="{FF2B5EF4-FFF2-40B4-BE49-F238E27FC236}">
              <a16:creationId xmlns:a16="http://schemas.microsoft.com/office/drawing/2014/main" id="{00000000-0008-0000-0800-00003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8" name="Text Box 218">
          <a:extLst>
            <a:ext uri="{FF2B5EF4-FFF2-40B4-BE49-F238E27FC236}">
              <a16:creationId xmlns:a16="http://schemas.microsoft.com/office/drawing/2014/main" id="{00000000-0008-0000-0800-00003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9" name="Text Box 219">
          <a:extLst>
            <a:ext uri="{FF2B5EF4-FFF2-40B4-BE49-F238E27FC236}">
              <a16:creationId xmlns:a16="http://schemas.microsoft.com/office/drawing/2014/main" id="{00000000-0008-0000-0800-00003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0" name="Text Box 220">
          <a:extLst>
            <a:ext uri="{FF2B5EF4-FFF2-40B4-BE49-F238E27FC236}">
              <a16:creationId xmlns:a16="http://schemas.microsoft.com/office/drawing/2014/main" id="{00000000-0008-0000-0800-00003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1" name="Text Box 221">
          <a:extLst>
            <a:ext uri="{FF2B5EF4-FFF2-40B4-BE49-F238E27FC236}">
              <a16:creationId xmlns:a16="http://schemas.microsoft.com/office/drawing/2014/main" id="{00000000-0008-0000-0800-00003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2" name="Text Box 222">
          <a:extLst>
            <a:ext uri="{FF2B5EF4-FFF2-40B4-BE49-F238E27FC236}">
              <a16:creationId xmlns:a16="http://schemas.microsoft.com/office/drawing/2014/main" id="{00000000-0008-0000-0800-00003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3" name="Text Box 223">
          <a:extLst>
            <a:ext uri="{FF2B5EF4-FFF2-40B4-BE49-F238E27FC236}">
              <a16:creationId xmlns:a16="http://schemas.microsoft.com/office/drawing/2014/main" id="{00000000-0008-0000-0800-00003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4" name="Text Box 224">
          <a:extLst>
            <a:ext uri="{FF2B5EF4-FFF2-40B4-BE49-F238E27FC236}">
              <a16:creationId xmlns:a16="http://schemas.microsoft.com/office/drawing/2014/main" id="{00000000-0008-0000-0800-00003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5" name="Text Box 225">
          <a:extLst>
            <a:ext uri="{FF2B5EF4-FFF2-40B4-BE49-F238E27FC236}">
              <a16:creationId xmlns:a16="http://schemas.microsoft.com/office/drawing/2014/main" id="{00000000-0008-0000-0800-00003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6" name="Text Box 226">
          <a:extLst>
            <a:ext uri="{FF2B5EF4-FFF2-40B4-BE49-F238E27FC236}">
              <a16:creationId xmlns:a16="http://schemas.microsoft.com/office/drawing/2014/main" id="{00000000-0008-0000-0800-00003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7" name="Text Box 227">
          <a:extLst>
            <a:ext uri="{FF2B5EF4-FFF2-40B4-BE49-F238E27FC236}">
              <a16:creationId xmlns:a16="http://schemas.microsoft.com/office/drawing/2014/main" id="{00000000-0008-0000-0800-00003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8" name="Text Box 228">
          <a:extLst>
            <a:ext uri="{FF2B5EF4-FFF2-40B4-BE49-F238E27FC236}">
              <a16:creationId xmlns:a16="http://schemas.microsoft.com/office/drawing/2014/main" id="{00000000-0008-0000-0800-00003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9" name="Text Box 229">
          <a:extLst>
            <a:ext uri="{FF2B5EF4-FFF2-40B4-BE49-F238E27FC236}">
              <a16:creationId xmlns:a16="http://schemas.microsoft.com/office/drawing/2014/main" id="{00000000-0008-0000-0800-00003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0" name="Text Box 230">
          <a:extLst>
            <a:ext uri="{FF2B5EF4-FFF2-40B4-BE49-F238E27FC236}">
              <a16:creationId xmlns:a16="http://schemas.microsoft.com/office/drawing/2014/main" id="{00000000-0008-0000-0800-00003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1" name="Text Box 231">
          <a:extLst>
            <a:ext uri="{FF2B5EF4-FFF2-40B4-BE49-F238E27FC236}">
              <a16:creationId xmlns:a16="http://schemas.microsoft.com/office/drawing/2014/main" id="{00000000-0008-0000-0800-00003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2" name="Text Box 232">
          <a:extLst>
            <a:ext uri="{FF2B5EF4-FFF2-40B4-BE49-F238E27FC236}">
              <a16:creationId xmlns:a16="http://schemas.microsoft.com/office/drawing/2014/main" id="{00000000-0008-0000-0800-00004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3" name="Text Box 233">
          <a:extLst>
            <a:ext uri="{FF2B5EF4-FFF2-40B4-BE49-F238E27FC236}">
              <a16:creationId xmlns:a16="http://schemas.microsoft.com/office/drawing/2014/main" id="{00000000-0008-0000-0800-00004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4" name="Text Box 234">
          <a:extLst>
            <a:ext uri="{FF2B5EF4-FFF2-40B4-BE49-F238E27FC236}">
              <a16:creationId xmlns:a16="http://schemas.microsoft.com/office/drawing/2014/main" id="{00000000-0008-0000-0800-00004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5" name="Text Box 235">
          <a:extLst>
            <a:ext uri="{FF2B5EF4-FFF2-40B4-BE49-F238E27FC236}">
              <a16:creationId xmlns:a16="http://schemas.microsoft.com/office/drawing/2014/main" id="{00000000-0008-0000-0800-00004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6" name="Text Box 236">
          <a:extLst>
            <a:ext uri="{FF2B5EF4-FFF2-40B4-BE49-F238E27FC236}">
              <a16:creationId xmlns:a16="http://schemas.microsoft.com/office/drawing/2014/main" id="{00000000-0008-0000-0800-00004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7" name="Text Box 237">
          <a:extLst>
            <a:ext uri="{FF2B5EF4-FFF2-40B4-BE49-F238E27FC236}">
              <a16:creationId xmlns:a16="http://schemas.microsoft.com/office/drawing/2014/main" id="{00000000-0008-0000-0800-00004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8" name="Text Box 238">
          <a:extLst>
            <a:ext uri="{FF2B5EF4-FFF2-40B4-BE49-F238E27FC236}">
              <a16:creationId xmlns:a16="http://schemas.microsoft.com/office/drawing/2014/main" id="{00000000-0008-0000-0800-00004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9" name="Text Box 239">
          <a:extLst>
            <a:ext uri="{FF2B5EF4-FFF2-40B4-BE49-F238E27FC236}">
              <a16:creationId xmlns:a16="http://schemas.microsoft.com/office/drawing/2014/main" id="{00000000-0008-0000-0800-00004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0" name="Text Box 240">
          <a:extLst>
            <a:ext uri="{FF2B5EF4-FFF2-40B4-BE49-F238E27FC236}">
              <a16:creationId xmlns:a16="http://schemas.microsoft.com/office/drawing/2014/main" id="{00000000-0008-0000-0800-00004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1" name="Text Box 241">
          <a:extLst>
            <a:ext uri="{FF2B5EF4-FFF2-40B4-BE49-F238E27FC236}">
              <a16:creationId xmlns:a16="http://schemas.microsoft.com/office/drawing/2014/main" id="{00000000-0008-0000-0800-00004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2" name="Text Box 242">
          <a:extLst>
            <a:ext uri="{FF2B5EF4-FFF2-40B4-BE49-F238E27FC236}">
              <a16:creationId xmlns:a16="http://schemas.microsoft.com/office/drawing/2014/main" id="{00000000-0008-0000-0800-00004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3" name="Text Box 243">
          <a:extLst>
            <a:ext uri="{FF2B5EF4-FFF2-40B4-BE49-F238E27FC236}">
              <a16:creationId xmlns:a16="http://schemas.microsoft.com/office/drawing/2014/main" id="{00000000-0008-0000-0800-00004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4" name="Text Box 244">
          <a:extLst>
            <a:ext uri="{FF2B5EF4-FFF2-40B4-BE49-F238E27FC236}">
              <a16:creationId xmlns:a16="http://schemas.microsoft.com/office/drawing/2014/main" id="{00000000-0008-0000-0800-00004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5" name="Text Box 245">
          <a:extLst>
            <a:ext uri="{FF2B5EF4-FFF2-40B4-BE49-F238E27FC236}">
              <a16:creationId xmlns:a16="http://schemas.microsoft.com/office/drawing/2014/main" id="{00000000-0008-0000-0800-00004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6" name="Text Box 246">
          <a:extLst>
            <a:ext uri="{FF2B5EF4-FFF2-40B4-BE49-F238E27FC236}">
              <a16:creationId xmlns:a16="http://schemas.microsoft.com/office/drawing/2014/main" id="{00000000-0008-0000-0800-00004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7" name="Text Box 247">
          <a:extLst>
            <a:ext uri="{FF2B5EF4-FFF2-40B4-BE49-F238E27FC236}">
              <a16:creationId xmlns:a16="http://schemas.microsoft.com/office/drawing/2014/main" id="{00000000-0008-0000-0800-00004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8" name="Text Box 248">
          <a:extLst>
            <a:ext uri="{FF2B5EF4-FFF2-40B4-BE49-F238E27FC236}">
              <a16:creationId xmlns:a16="http://schemas.microsoft.com/office/drawing/2014/main" id="{00000000-0008-0000-0800-00005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9" name="Text Box 249">
          <a:extLst>
            <a:ext uri="{FF2B5EF4-FFF2-40B4-BE49-F238E27FC236}">
              <a16:creationId xmlns:a16="http://schemas.microsoft.com/office/drawing/2014/main" id="{00000000-0008-0000-0800-00005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0" name="Text Box 250">
          <a:extLst>
            <a:ext uri="{FF2B5EF4-FFF2-40B4-BE49-F238E27FC236}">
              <a16:creationId xmlns:a16="http://schemas.microsoft.com/office/drawing/2014/main" id="{00000000-0008-0000-0800-00005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1" name="Text Box 251">
          <a:extLst>
            <a:ext uri="{FF2B5EF4-FFF2-40B4-BE49-F238E27FC236}">
              <a16:creationId xmlns:a16="http://schemas.microsoft.com/office/drawing/2014/main" id="{00000000-0008-0000-0800-00005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2" name="Text Box 252">
          <a:extLst>
            <a:ext uri="{FF2B5EF4-FFF2-40B4-BE49-F238E27FC236}">
              <a16:creationId xmlns:a16="http://schemas.microsoft.com/office/drawing/2014/main" id="{00000000-0008-0000-0800-00005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3" name="Text Box 253">
          <a:extLst>
            <a:ext uri="{FF2B5EF4-FFF2-40B4-BE49-F238E27FC236}">
              <a16:creationId xmlns:a16="http://schemas.microsoft.com/office/drawing/2014/main" id="{00000000-0008-0000-0800-00005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4" name="Text Box 254">
          <a:extLst>
            <a:ext uri="{FF2B5EF4-FFF2-40B4-BE49-F238E27FC236}">
              <a16:creationId xmlns:a16="http://schemas.microsoft.com/office/drawing/2014/main" id="{00000000-0008-0000-0800-00005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5" name="Text Box 255">
          <a:extLst>
            <a:ext uri="{FF2B5EF4-FFF2-40B4-BE49-F238E27FC236}">
              <a16:creationId xmlns:a16="http://schemas.microsoft.com/office/drawing/2014/main" id="{00000000-0008-0000-0800-00005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6" name="Text Box 256">
          <a:extLst>
            <a:ext uri="{FF2B5EF4-FFF2-40B4-BE49-F238E27FC236}">
              <a16:creationId xmlns:a16="http://schemas.microsoft.com/office/drawing/2014/main" id="{00000000-0008-0000-0800-00005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7" name="Text Box 257">
          <a:extLst>
            <a:ext uri="{FF2B5EF4-FFF2-40B4-BE49-F238E27FC236}">
              <a16:creationId xmlns:a16="http://schemas.microsoft.com/office/drawing/2014/main" id="{00000000-0008-0000-0800-00005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8" name="Text Box 258">
          <a:extLst>
            <a:ext uri="{FF2B5EF4-FFF2-40B4-BE49-F238E27FC236}">
              <a16:creationId xmlns:a16="http://schemas.microsoft.com/office/drawing/2014/main" id="{00000000-0008-0000-0800-00005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9" name="Text Box 259">
          <a:extLst>
            <a:ext uri="{FF2B5EF4-FFF2-40B4-BE49-F238E27FC236}">
              <a16:creationId xmlns:a16="http://schemas.microsoft.com/office/drawing/2014/main" id="{00000000-0008-0000-0800-00005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0" name="Text Box 260">
          <a:extLst>
            <a:ext uri="{FF2B5EF4-FFF2-40B4-BE49-F238E27FC236}">
              <a16:creationId xmlns:a16="http://schemas.microsoft.com/office/drawing/2014/main" id="{00000000-0008-0000-0800-00005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1" name="Text Box 261">
          <a:extLst>
            <a:ext uri="{FF2B5EF4-FFF2-40B4-BE49-F238E27FC236}">
              <a16:creationId xmlns:a16="http://schemas.microsoft.com/office/drawing/2014/main" id="{00000000-0008-0000-0800-00005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2" name="Text Box 262">
          <a:extLst>
            <a:ext uri="{FF2B5EF4-FFF2-40B4-BE49-F238E27FC236}">
              <a16:creationId xmlns:a16="http://schemas.microsoft.com/office/drawing/2014/main" id="{00000000-0008-0000-0800-00005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3" name="Text Box 263">
          <a:extLst>
            <a:ext uri="{FF2B5EF4-FFF2-40B4-BE49-F238E27FC236}">
              <a16:creationId xmlns:a16="http://schemas.microsoft.com/office/drawing/2014/main" id="{00000000-0008-0000-0800-00005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4" name="Text Box 264">
          <a:extLst>
            <a:ext uri="{FF2B5EF4-FFF2-40B4-BE49-F238E27FC236}">
              <a16:creationId xmlns:a16="http://schemas.microsoft.com/office/drawing/2014/main" id="{00000000-0008-0000-0800-00006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5" name="Text Box 265">
          <a:extLst>
            <a:ext uri="{FF2B5EF4-FFF2-40B4-BE49-F238E27FC236}">
              <a16:creationId xmlns:a16="http://schemas.microsoft.com/office/drawing/2014/main" id="{00000000-0008-0000-0800-00006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6" name="Text Box 266">
          <a:extLst>
            <a:ext uri="{FF2B5EF4-FFF2-40B4-BE49-F238E27FC236}">
              <a16:creationId xmlns:a16="http://schemas.microsoft.com/office/drawing/2014/main" id="{00000000-0008-0000-0800-00006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7" name="Text Box 267">
          <a:extLst>
            <a:ext uri="{FF2B5EF4-FFF2-40B4-BE49-F238E27FC236}">
              <a16:creationId xmlns:a16="http://schemas.microsoft.com/office/drawing/2014/main" id="{00000000-0008-0000-0800-00006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8" name="Text Box 268">
          <a:extLst>
            <a:ext uri="{FF2B5EF4-FFF2-40B4-BE49-F238E27FC236}">
              <a16:creationId xmlns:a16="http://schemas.microsoft.com/office/drawing/2014/main" id="{00000000-0008-0000-0800-00006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9" name="Text Box 269">
          <a:extLst>
            <a:ext uri="{FF2B5EF4-FFF2-40B4-BE49-F238E27FC236}">
              <a16:creationId xmlns:a16="http://schemas.microsoft.com/office/drawing/2014/main" id="{00000000-0008-0000-0800-00006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0" name="Text Box 270">
          <a:extLst>
            <a:ext uri="{FF2B5EF4-FFF2-40B4-BE49-F238E27FC236}">
              <a16:creationId xmlns:a16="http://schemas.microsoft.com/office/drawing/2014/main" id="{00000000-0008-0000-0800-00006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1" name="Text Box 271">
          <a:extLst>
            <a:ext uri="{FF2B5EF4-FFF2-40B4-BE49-F238E27FC236}">
              <a16:creationId xmlns:a16="http://schemas.microsoft.com/office/drawing/2014/main" id="{00000000-0008-0000-0800-00006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2" name="Text Box 272">
          <a:extLst>
            <a:ext uri="{FF2B5EF4-FFF2-40B4-BE49-F238E27FC236}">
              <a16:creationId xmlns:a16="http://schemas.microsoft.com/office/drawing/2014/main" id="{00000000-0008-0000-0800-00006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3" name="Text Box 273">
          <a:extLst>
            <a:ext uri="{FF2B5EF4-FFF2-40B4-BE49-F238E27FC236}">
              <a16:creationId xmlns:a16="http://schemas.microsoft.com/office/drawing/2014/main" id="{00000000-0008-0000-0800-00006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4" name="Text Box 274">
          <a:extLst>
            <a:ext uri="{FF2B5EF4-FFF2-40B4-BE49-F238E27FC236}">
              <a16:creationId xmlns:a16="http://schemas.microsoft.com/office/drawing/2014/main" id="{00000000-0008-0000-0800-00006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5" name="Text Box 275">
          <a:extLst>
            <a:ext uri="{FF2B5EF4-FFF2-40B4-BE49-F238E27FC236}">
              <a16:creationId xmlns:a16="http://schemas.microsoft.com/office/drawing/2014/main" id="{00000000-0008-0000-0800-00006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6" name="Text Box 276">
          <a:extLst>
            <a:ext uri="{FF2B5EF4-FFF2-40B4-BE49-F238E27FC236}">
              <a16:creationId xmlns:a16="http://schemas.microsoft.com/office/drawing/2014/main" id="{00000000-0008-0000-0800-00006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7" name="Text Box 277">
          <a:extLst>
            <a:ext uri="{FF2B5EF4-FFF2-40B4-BE49-F238E27FC236}">
              <a16:creationId xmlns:a16="http://schemas.microsoft.com/office/drawing/2014/main" id="{00000000-0008-0000-0800-00006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8" name="Text Box 278">
          <a:extLst>
            <a:ext uri="{FF2B5EF4-FFF2-40B4-BE49-F238E27FC236}">
              <a16:creationId xmlns:a16="http://schemas.microsoft.com/office/drawing/2014/main" id="{00000000-0008-0000-0800-00006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9" name="Text Box 279">
          <a:extLst>
            <a:ext uri="{FF2B5EF4-FFF2-40B4-BE49-F238E27FC236}">
              <a16:creationId xmlns:a16="http://schemas.microsoft.com/office/drawing/2014/main" id="{00000000-0008-0000-0800-00006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0" name="Text Box 280">
          <a:extLst>
            <a:ext uri="{FF2B5EF4-FFF2-40B4-BE49-F238E27FC236}">
              <a16:creationId xmlns:a16="http://schemas.microsoft.com/office/drawing/2014/main" id="{00000000-0008-0000-0800-00007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1" name="Text Box 281">
          <a:extLst>
            <a:ext uri="{FF2B5EF4-FFF2-40B4-BE49-F238E27FC236}">
              <a16:creationId xmlns:a16="http://schemas.microsoft.com/office/drawing/2014/main" id="{00000000-0008-0000-0800-00007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2" name="Text Box 282">
          <a:extLst>
            <a:ext uri="{FF2B5EF4-FFF2-40B4-BE49-F238E27FC236}">
              <a16:creationId xmlns:a16="http://schemas.microsoft.com/office/drawing/2014/main" id="{00000000-0008-0000-0800-00007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3" name="Text Box 283">
          <a:extLst>
            <a:ext uri="{FF2B5EF4-FFF2-40B4-BE49-F238E27FC236}">
              <a16:creationId xmlns:a16="http://schemas.microsoft.com/office/drawing/2014/main" id="{00000000-0008-0000-0800-00007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4" name="Text Box 284">
          <a:extLst>
            <a:ext uri="{FF2B5EF4-FFF2-40B4-BE49-F238E27FC236}">
              <a16:creationId xmlns:a16="http://schemas.microsoft.com/office/drawing/2014/main" id="{00000000-0008-0000-0800-00007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5" name="Text Box 285">
          <a:extLst>
            <a:ext uri="{FF2B5EF4-FFF2-40B4-BE49-F238E27FC236}">
              <a16:creationId xmlns:a16="http://schemas.microsoft.com/office/drawing/2014/main" id="{00000000-0008-0000-0800-00007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6" name="Text Box 286">
          <a:extLst>
            <a:ext uri="{FF2B5EF4-FFF2-40B4-BE49-F238E27FC236}">
              <a16:creationId xmlns:a16="http://schemas.microsoft.com/office/drawing/2014/main" id="{00000000-0008-0000-0800-00007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7" name="Text Box 287">
          <a:extLst>
            <a:ext uri="{FF2B5EF4-FFF2-40B4-BE49-F238E27FC236}">
              <a16:creationId xmlns:a16="http://schemas.microsoft.com/office/drawing/2014/main" id="{00000000-0008-0000-0800-00007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8" name="Text Box 288">
          <a:extLst>
            <a:ext uri="{FF2B5EF4-FFF2-40B4-BE49-F238E27FC236}">
              <a16:creationId xmlns:a16="http://schemas.microsoft.com/office/drawing/2014/main" id="{00000000-0008-0000-0800-00007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9" name="Text Box 289">
          <a:extLst>
            <a:ext uri="{FF2B5EF4-FFF2-40B4-BE49-F238E27FC236}">
              <a16:creationId xmlns:a16="http://schemas.microsoft.com/office/drawing/2014/main" id="{00000000-0008-0000-0800-00007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0" name="Text Box 290">
          <a:extLst>
            <a:ext uri="{FF2B5EF4-FFF2-40B4-BE49-F238E27FC236}">
              <a16:creationId xmlns:a16="http://schemas.microsoft.com/office/drawing/2014/main" id="{00000000-0008-0000-0800-00007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1" name="Text Box 291">
          <a:extLst>
            <a:ext uri="{FF2B5EF4-FFF2-40B4-BE49-F238E27FC236}">
              <a16:creationId xmlns:a16="http://schemas.microsoft.com/office/drawing/2014/main" id="{00000000-0008-0000-0800-00007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2" name="Text Box 292">
          <a:extLst>
            <a:ext uri="{FF2B5EF4-FFF2-40B4-BE49-F238E27FC236}">
              <a16:creationId xmlns:a16="http://schemas.microsoft.com/office/drawing/2014/main" id="{00000000-0008-0000-0800-00007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3" name="Text Box 293">
          <a:extLst>
            <a:ext uri="{FF2B5EF4-FFF2-40B4-BE49-F238E27FC236}">
              <a16:creationId xmlns:a16="http://schemas.microsoft.com/office/drawing/2014/main" id="{00000000-0008-0000-0800-00007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4" name="Text Box 294">
          <a:extLst>
            <a:ext uri="{FF2B5EF4-FFF2-40B4-BE49-F238E27FC236}">
              <a16:creationId xmlns:a16="http://schemas.microsoft.com/office/drawing/2014/main" id="{00000000-0008-0000-0800-00007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5" name="Text Box 295">
          <a:extLst>
            <a:ext uri="{FF2B5EF4-FFF2-40B4-BE49-F238E27FC236}">
              <a16:creationId xmlns:a16="http://schemas.microsoft.com/office/drawing/2014/main" id="{00000000-0008-0000-0800-00007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6" name="Text Box 296">
          <a:extLst>
            <a:ext uri="{FF2B5EF4-FFF2-40B4-BE49-F238E27FC236}">
              <a16:creationId xmlns:a16="http://schemas.microsoft.com/office/drawing/2014/main" id="{00000000-0008-0000-0800-00008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7" name="Text Box 297">
          <a:extLst>
            <a:ext uri="{FF2B5EF4-FFF2-40B4-BE49-F238E27FC236}">
              <a16:creationId xmlns:a16="http://schemas.microsoft.com/office/drawing/2014/main" id="{00000000-0008-0000-0800-00008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8" name="Text Box 298">
          <a:extLst>
            <a:ext uri="{FF2B5EF4-FFF2-40B4-BE49-F238E27FC236}">
              <a16:creationId xmlns:a16="http://schemas.microsoft.com/office/drawing/2014/main" id="{00000000-0008-0000-0800-00008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9" name="Text Box 299">
          <a:extLst>
            <a:ext uri="{FF2B5EF4-FFF2-40B4-BE49-F238E27FC236}">
              <a16:creationId xmlns:a16="http://schemas.microsoft.com/office/drawing/2014/main" id="{00000000-0008-0000-0800-00008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0" name="Text Box 300">
          <a:extLst>
            <a:ext uri="{FF2B5EF4-FFF2-40B4-BE49-F238E27FC236}">
              <a16:creationId xmlns:a16="http://schemas.microsoft.com/office/drawing/2014/main" id="{00000000-0008-0000-0800-00008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1" name="Text Box 301">
          <a:extLst>
            <a:ext uri="{FF2B5EF4-FFF2-40B4-BE49-F238E27FC236}">
              <a16:creationId xmlns:a16="http://schemas.microsoft.com/office/drawing/2014/main" id="{00000000-0008-0000-0800-00008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2" name="Text Box 302">
          <a:extLst>
            <a:ext uri="{FF2B5EF4-FFF2-40B4-BE49-F238E27FC236}">
              <a16:creationId xmlns:a16="http://schemas.microsoft.com/office/drawing/2014/main" id="{00000000-0008-0000-0800-00008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3" name="Text Box 303">
          <a:extLst>
            <a:ext uri="{FF2B5EF4-FFF2-40B4-BE49-F238E27FC236}">
              <a16:creationId xmlns:a16="http://schemas.microsoft.com/office/drawing/2014/main" id="{00000000-0008-0000-0800-00008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4" name="Text Box 304">
          <a:extLst>
            <a:ext uri="{FF2B5EF4-FFF2-40B4-BE49-F238E27FC236}">
              <a16:creationId xmlns:a16="http://schemas.microsoft.com/office/drawing/2014/main" id="{00000000-0008-0000-0800-00008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5" name="Text Box 305">
          <a:extLst>
            <a:ext uri="{FF2B5EF4-FFF2-40B4-BE49-F238E27FC236}">
              <a16:creationId xmlns:a16="http://schemas.microsoft.com/office/drawing/2014/main" id="{00000000-0008-0000-0800-00008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6" name="Text Box 306">
          <a:extLst>
            <a:ext uri="{FF2B5EF4-FFF2-40B4-BE49-F238E27FC236}">
              <a16:creationId xmlns:a16="http://schemas.microsoft.com/office/drawing/2014/main" id="{00000000-0008-0000-0800-00008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7" name="Text Box 307">
          <a:extLst>
            <a:ext uri="{FF2B5EF4-FFF2-40B4-BE49-F238E27FC236}">
              <a16:creationId xmlns:a16="http://schemas.microsoft.com/office/drawing/2014/main" id="{00000000-0008-0000-0800-00008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8" name="Text Box 308">
          <a:extLst>
            <a:ext uri="{FF2B5EF4-FFF2-40B4-BE49-F238E27FC236}">
              <a16:creationId xmlns:a16="http://schemas.microsoft.com/office/drawing/2014/main" id="{00000000-0008-0000-0800-00008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9" name="Text Box 309">
          <a:extLst>
            <a:ext uri="{FF2B5EF4-FFF2-40B4-BE49-F238E27FC236}">
              <a16:creationId xmlns:a16="http://schemas.microsoft.com/office/drawing/2014/main" id="{00000000-0008-0000-0800-00008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0" name="Text Box 310">
          <a:extLst>
            <a:ext uri="{FF2B5EF4-FFF2-40B4-BE49-F238E27FC236}">
              <a16:creationId xmlns:a16="http://schemas.microsoft.com/office/drawing/2014/main" id="{00000000-0008-0000-0800-00008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1" name="Text Box 311">
          <a:extLst>
            <a:ext uri="{FF2B5EF4-FFF2-40B4-BE49-F238E27FC236}">
              <a16:creationId xmlns:a16="http://schemas.microsoft.com/office/drawing/2014/main" id="{00000000-0008-0000-0800-00008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2" name="Text Box 312">
          <a:extLst>
            <a:ext uri="{FF2B5EF4-FFF2-40B4-BE49-F238E27FC236}">
              <a16:creationId xmlns:a16="http://schemas.microsoft.com/office/drawing/2014/main" id="{00000000-0008-0000-0800-00009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3" name="Text Box 313">
          <a:extLst>
            <a:ext uri="{FF2B5EF4-FFF2-40B4-BE49-F238E27FC236}">
              <a16:creationId xmlns:a16="http://schemas.microsoft.com/office/drawing/2014/main" id="{00000000-0008-0000-0800-00009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4" name="Text Box 314">
          <a:extLst>
            <a:ext uri="{FF2B5EF4-FFF2-40B4-BE49-F238E27FC236}">
              <a16:creationId xmlns:a16="http://schemas.microsoft.com/office/drawing/2014/main" id="{00000000-0008-0000-0800-00009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5" name="Text Box 315">
          <a:extLst>
            <a:ext uri="{FF2B5EF4-FFF2-40B4-BE49-F238E27FC236}">
              <a16:creationId xmlns:a16="http://schemas.microsoft.com/office/drawing/2014/main" id="{00000000-0008-0000-0800-00009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6" name="Text Box 316">
          <a:extLst>
            <a:ext uri="{FF2B5EF4-FFF2-40B4-BE49-F238E27FC236}">
              <a16:creationId xmlns:a16="http://schemas.microsoft.com/office/drawing/2014/main" id="{00000000-0008-0000-0800-00009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7" name="Text Box 317">
          <a:extLst>
            <a:ext uri="{FF2B5EF4-FFF2-40B4-BE49-F238E27FC236}">
              <a16:creationId xmlns:a16="http://schemas.microsoft.com/office/drawing/2014/main" id="{00000000-0008-0000-0800-00009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8" name="Text Box 318">
          <a:extLst>
            <a:ext uri="{FF2B5EF4-FFF2-40B4-BE49-F238E27FC236}">
              <a16:creationId xmlns:a16="http://schemas.microsoft.com/office/drawing/2014/main" id="{00000000-0008-0000-0800-00009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9" name="Text Box 319">
          <a:extLst>
            <a:ext uri="{FF2B5EF4-FFF2-40B4-BE49-F238E27FC236}">
              <a16:creationId xmlns:a16="http://schemas.microsoft.com/office/drawing/2014/main" id="{00000000-0008-0000-0800-00009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20" name="Text Box 320">
          <a:extLst>
            <a:ext uri="{FF2B5EF4-FFF2-40B4-BE49-F238E27FC236}">
              <a16:creationId xmlns:a16="http://schemas.microsoft.com/office/drawing/2014/main" id="{00000000-0008-0000-0800-00009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1" name="Text Box 28">
          <a:extLst>
            <a:ext uri="{FF2B5EF4-FFF2-40B4-BE49-F238E27FC236}">
              <a16:creationId xmlns:a16="http://schemas.microsoft.com/office/drawing/2014/main" id="{00000000-0008-0000-0800-00009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2" name="Text Box 29">
          <a:extLst>
            <a:ext uri="{FF2B5EF4-FFF2-40B4-BE49-F238E27FC236}">
              <a16:creationId xmlns:a16="http://schemas.microsoft.com/office/drawing/2014/main" id="{00000000-0008-0000-0800-00009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3" name="Text Box 30">
          <a:extLst>
            <a:ext uri="{FF2B5EF4-FFF2-40B4-BE49-F238E27FC236}">
              <a16:creationId xmlns:a16="http://schemas.microsoft.com/office/drawing/2014/main" id="{00000000-0008-0000-0800-00009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4" name="Text Box 31">
          <a:extLst>
            <a:ext uri="{FF2B5EF4-FFF2-40B4-BE49-F238E27FC236}">
              <a16:creationId xmlns:a16="http://schemas.microsoft.com/office/drawing/2014/main" id="{00000000-0008-0000-0800-00009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5" name="Text Box 32">
          <a:extLst>
            <a:ext uri="{FF2B5EF4-FFF2-40B4-BE49-F238E27FC236}">
              <a16:creationId xmlns:a16="http://schemas.microsoft.com/office/drawing/2014/main" id="{00000000-0008-0000-0800-00009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6" name="Text Box 33">
          <a:extLst>
            <a:ext uri="{FF2B5EF4-FFF2-40B4-BE49-F238E27FC236}">
              <a16:creationId xmlns:a16="http://schemas.microsoft.com/office/drawing/2014/main" id="{00000000-0008-0000-0800-00009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7" name="Text Box 34">
          <a:extLst>
            <a:ext uri="{FF2B5EF4-FFF2-40B4-BE49-F238E27FC236}">
              <a16:creationId xmlns:a16="http://schemas.microsoft.com/office/drawing/2014/main" id="{00000000-0008-0000-0800-00009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8" name="Text Box 35">
          <a:extLst>
            <a:ext uri="{FF2B5EF4-FFF2-40B4-BE49-F238E27FC236}">
              <a16:creationId xmlns:a16="http://schemas.microsoft.com/office/drawing/2014/main" id="{00000000-0008-0000-0800-0000A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9" name="Text Box 36">
          <a:extLst>
            <a:ext uri="{FF2B5EF4-FFF2-40B4-BE49-F238E27FC236}">
              <a16:creationId xmlns:a16="http://schemas.microsoft.com/office/drawing/2014/main" id="{00000000-0008-0000-0800-0000A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0" name="Text Box 37">
          <a:extLst>
            <a:ext uri="{FF2B5EF4-FFF2-40B4-BE49-F238E27FC236}">
              <a16:creationId xmlns:a16="http://schemas.microsoft.com/office/drawing/2014/main" id="{00000000-0008-0000-0800-0000A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1" name="Text Box 38">
          <a:extLst>
            <a:ext uri="{FF2B5EF4-FFF2-40B4-BE49-F238E27FC236}">
              <a16:creationId xmlns:a16="http://schemas.microsoft.com/office/drawing/2014/main" id="{00000000-0008-0000-0800-0000A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2" name="Text Box 39">
          <a:extLst>
            <a:ext uri="{FF2B5EF4-FFF2-40B4-BE49-F238E27FC236}">
              <a16:creationId xmlns:a16="http://schemas.microsoft.com/office/drawing/2014/main" id="{00000000-0008-0000-0800-0000A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3" name="Text Box 40">
          <a:extLst>
            <a:ext uri="{FF2B5EF4-FFF2-40B4-BE49-F238E27FC236}">
              <a16:creationId xmlns:a16="http://schemas.microsoft.com/office/drawing/2014/main" id="{00000000-0008-0000-0800-0000A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4" name="Text Box 41">
          <a:extLst>
            <a:ext uri="{FF2B5EF4-FFF2-40B4-BE49-F238E27FC236}">
              <a16:creationId xmlns:a16="http://schemas.microsoft.com/office/drawing/2014/main" id="{00000000-0008-0000-0800-0000A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5" name="Text Box 42">
          <a:extLst>
            <a:ext uri="{FF2B5EF4-FFF2-40B4-BE49-F238E27FC236}">
              <a16:creationId xmlns:a16="http://schemas.microsoft.com/office/drawing/2014/main" id="{00000000-0008-0000-0800-0000A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6" name="Text Box 43">
          <a:extLst>
            <a:ext uri="{FF2B5EF4-FFF2-40B4-BE49-F238E27FC236}">
              <a16:creationId xmlns:a16="http://schemas.microsoft.com/office/drawing/2014/main" id="{00000000-0008-0000-0800-0000A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7" name="Text Box 44">
          <a:extLst>
            <a:ext uri="{FF2B5EF4-FFF2-40B4-BE49-F238E27FC236}">
              <a16:creationId xmlns:a16="http://schemas.microsoft.com/office/drawing/2014/main" id="{00000000-0008-0000-0800-0000A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8" name="Text Box 45">
          <a:extLst>
            <a:ext uri="{FF2B5EF4-FFF2-40B4-BE49-F238E27FC236}">
              <a16:creationId xmlns:a16="http://schemas.microsoft.com/office/drawing/2014/main" id="{00000000-0008-0000-0800-0000A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9" name="Text Box 46">
          <a:extLst>
            <a:ext uri="{FF2B5EF4-FFF2-40B4-BE49-F238E27FC236}">
              <a16:creationId xmlns:a16="http://schemas.microsoft.com/office/drawing/2014/main" id="{00000000-0008-0000-0800-0000A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0" name="Text Box 47">
          <a:extLst>
            <a:ext uri="{FF2B5EF4-FFF2-40B4-BE49-F238E27FC236}">
              <a16:creationId xmlns:a16="http://schemas.microsoft.com/office/drawing/2014/main" id="{00000000-0008-0000-0800-0000A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1" name="Text Box 48">
          <a:extLst>
            <a:ext uri="{FF2B5EF4-FFF2-40B4-BE49-F238E27FC236}">
              <a16:creationId xmlns:a16="http://schemas.microsoft.com/office/drawing/2014/main" id="{00000000-0008-0000-0800-0000A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2" name="Text Box 49">
          <a:extLst>
            <a:ext uri="{FF2B5EF4-FFF2-40B4-BE49-F238E27FC236}">
              <a16:creationId xmlns:a16="http://schemas.microsoft.com/office/drawing/2014/main" id="{00000000-0008-0000-0800-0000A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3" name="Text Box 50">
          <a:extLst>
            <a:ext uri="{FF2B5EF4-FFF2-40B4-BE49-F238E27FC236}">
              <a16:creationId xmlns:a16="http://schemas.microsoft.com/office/drawing/2014/main" id="{00000000-0008-0000-0800-0000A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4" name="Text Box 51">
          <a:extLst>
            <a:ext uri="{FF2B5EF4-FFF2-40B4-BE49-F238E27FC236}">
              <a16:creationId xmlns:a16="http://schemas.microsoft.com/office/drawing/2014/main" id="{00000000-0008-0000-0800-0000B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5" name="Text Box 52">
          <a:extLst>
            <a:ext uri="{FF2B5EF4-FFF2-40B4-BE49-F238E27FC236}">
              <a16:creationId xmlns:a16="http://schemas.microsoft.com/office/drawing/2014/main" id="{00000000-0008-0000-0800-0000B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6" name="Text Box 53">
          <a:extLst>
            <a:ext uri="{FF2B5EF4-FFF2-40B4-BE49-F238E27FC236}">
              <a16:creationId xmlns:a16="http://schemas.microsoft.com/office/drawing/2014/main" id="{00000000-0008-0000-0800-0000B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7" name="Text Box 54">
          <a:extLst>
            <a:ext uri="{FF2B5EF4-FFF2-40B4-BE49-F238E27FC236}">
              <a16:creationId xmlns:a16="http://schemas.microsoft.com/office/drawing/2014/main" id="{00000000-0008-0000-0800-0000B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8" name="Text Box 55">
          <a:extLst>
            <a:ext uri="{FF2B5EF4-FFF2-40B4-BE49-F238E27FC236}">
              <a16:creationId xmlns:a16="http://schemas.microsoft.com/office/drawing/2014/main" id="{00000000-0008-0000-0800-0000B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9" name="Text Box 56">
          <a:extLst>
            <a:ext uri="{FF2B5EF4-FFF2-40B4-BE49-F238E27FC236}">
              <a16:creationId xmlns:a16="http://schemas.microsoft.com/office/drawing/2014/main" id="{00000000-0008-0000-0800-0000B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0" name="Text Box 57">
          <a:extLst>
            <a:ext uri="{FF2B5EF4-FFF2-40B4-BE49-F238E27FC236}">
              <a16:creationId xmlns:a16="http://schemas.microsoft.com/office/drawing/2014/main" id="{00000000-0008-0000-0800-0000B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1" name="Text Box 58">
          <a:extLst>
            <a:ext uri="{FF2B5EF4-FFF2-40B4-BE49-F238E27FC236}">
              <a16:creationId xmlns:a16="http://schemas.microsoft.com/office/drawing/2014/main" id="{00000000-0008-0000-0800-0000B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2" name="Text Box 59">
          <a:extLst>
            <a:ext uri="{FF2B5EF4-FFF2-40B4-BE49-F238E27FC236}">
              <a16:creationId xmlns:a16="http://schemas.microsoft.com/office/drawing/2014/main" id="{00000000-0008-0000-0800-0000B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3" name="Text Box 60">
          <a:extLst>
            <a:ext uri="{FF2B5EF4-FFF2-40B4-BE49-F238E27FC236}">
              <a16:creationId xmlns:a16="http://schemas.microsoft.com/office/drawing/2014/main" id="{00000000-0008-0000-0800-0000B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4" name="Text Box 61">
          <a:extLst>
            <a:ext uri="{FF2B5EF4-FFF2-40B4-BE49-F238E27FC236}">
              <a16:creationId xmlns:a16="http://schemas.microsoft.com/office/drawing/2014/main" id="{00000000-0008-0000-0800-0000B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5" name="Text Box 62">
          <a:extLst>
            <a:ext uri="{FF2B5EF4-FFF2-40B4-BE49-F238E27FC236}">
              <a16:creationId xmlns:a16="http://schemas.microsoft.com/office/drawing/2014/main" id="{00000000-0008-0000-0800-0000B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6" name="Text Box 63">
          <a:extLst>
            <a:ext uri="{FF2B5EF4-FFF2-40B4-BE49-F238E27FC236}">
              <a16:creationId xmlns:a16="http://schemas.microsoft.com/office/drawing/2014/main" id="{00000000-0008-0000-0800-0000B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7" name="Text Box 64">
          <a:extLst>
            <a:ext uri="{FF2B5EF4-FFF2-40B4-BE49-F238E27FC236}">
              <a16:creationId xmlns:a16="http://schemas.microsoft.com/office/drawing/2014/main" id="{00000000-0008-0000-0800-0000B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8" name="Text Box 65">
          <a:extLst>
            <a:ext uri="{FF2B5EF4-FFF2-40B4-BE49-F238E27FC236}">
              <a16:creationId xmlns:a16="http://schemas.microsoft.com/office/drawing/2014/main" id="{00000000-0008-0000-0800-0000B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9" name="Text Box 66">
          <a:extLst>
            <a:ext uri="{FF2B5EF4-FFF2-40B4-BE49-F238E27FC236}">
              <a16:creationId xmlns:a16="http://schemas.microsoft.com/office/drawing/2014/main" id="{00000000-0008-0000-0800-0000B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0" name="Text Box 67">
          <a:extLst>
            <a:ext uri="{FF2B5EF4-FFF2-40B4-BE49-F238E27FC236}">
              <a16:creationId xmlns:a16="http://schemas.microsoft.com/office/drawing/2014/main" id="{00000000-0008-0000-0800-0000C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1" name="Text Box 68">
          <a:extLst>
            <a:ext uri="{FF2B5EF4-FFF2-40B4-BE49-F238E27FC236}">
              <a16:creationId xmlns:a16="http://schemas.microsoft.com/office/drawing/2014/main" id="{00000000-0008-0000-0800-0000C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2" name="Text Box 69">
          <a:extLst>
            <a:ext uri="{FF2B5EF4-FFF2-40B4-BE49-F238E27FC236}">
              <a16:creationId xmlns:a16="http://schemas.microsoft.com/office/drawing/2014/main" id="{00000000-0008-0000-0800-0000C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3" name="Text Box 70">
          <a:extLst>
            <a:ext uri="{FF2B5EF4-FFF2-40B4-BE49-F238E27FC236}">
              <a16:creationId xmlns:a16="http://schemas.microsoft.com/office/drawing/2014/main" id="{00000000-0008-0000-0800-0000C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4" name="Text Box 71">
          <a:extLst>
            <a:ext uri="{FF2B5EF4-FFF2-40B4-BE49-F238E27FC236}">
              <a16:creationId xmlns:a16="http://schemas.microsoft.com/office/drawing/2014/main" id="{00000000-0008-0000-0800-0000C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5" name="Text Box 72">
          <a:extLst>
            <a:ext uri="{FF2B5EF4-FFF2-40B4-BE49-F238E27FC236}">
              <a16:creationId xmlns:a16="http://schemas.microsoft.com/office/drawing/2014/main" id="{00000000-0008-0000-0800-0000C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6" name="Text Box 73">
          <a:extLst>
            <a:ext uri="{FF2B5EF4-FFF2-40B4-BE49-F238E27FC236}">
              <a16:creationId xmlns:a16="http://schemas.microsoft.com/office/drawing/2014/main" id="{00000000-0008-0000-0800-0000C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7" name="Text Box 74">
          <a:extLst>
            <a:ext uri="{FF2B5EF4-FFF2-40B4-BE49-F238E27FC236}">
              <a16:creationId xmlns:a16="http://schemas.microsoft.com/office/drawing/2014/main" id="{00000000-0008-0000-0800-0000C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8" name="Text Box 75">
          <a:extLst>
            <a:ext uri="{FF2B5EF4-FFF2-40B4-BE49-F238E27FC236}">
              <a16:creationId xmlns:a16="http://schemas.microsoft.com/office/drawing/2014/main" id="{00000000-0008-0000-0800-0000C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9" name="Text Box 76">
          <a:extLst>
            <a:ext uri="{FF2B5EF4-FFF2-40B4-BE49-F238E27FC236}">
              <a16:creationId xmlns:a16="http://schemas.microsoft.com/office/drawing/2014/main" id="{00000000-0008-0000-0800-0000C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0" name="Text Box 77">
          <a:extLst>
            <a:ext uri="{FF2B5EF4-FFF2-40B4-BE49-F238E27FC236}">
              <a16:creationId xmlns:a16="http://schemas.microsoft.com/office/drawing/2014/main" id="{00000000-0008-0000-0800-0000C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1" name="Text Box 78">
          <a:extLst>
            <a:ext uri="{FF2B5EF4-FFF2-40B4-BE49-F238E27FC236}">
              <a16:creationId xmlns:a16="http://schemas.microsoft.com/office/drawing/2014/main" id="{00000000-0008-0000-0800-0000C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2" name="Text Box 79">
          <a:extLst>
            <a:ext uri="{FF2B5EF4-FFF2-40B4-BE49-F238E27FC236}">
              <a16:creationId xmlns:a16="http://schemas.microsoft.com/office/drawing/2014/main" id="{00000000-0008-0000-0800-0000C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3" name="Text Box 80">
          <a:extLst>
            <a:ext uri="{FF2B5EF4-FFF2-40B4-BE49-F238E27FC236}">
              <a16:creationId xmlns:a16="http://schemas.microsoft.com/office/drawing/2014/main" id="{00000000-0008-0000-0800-0000C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4" name="Text Box 81">
          <a:extLst>
            <a:ext uri="{FF2B5EF4-FFF2-40B4-BE49-F238E27FC236}">
              <a16:creationId xmlns:a16="http://schemas.microsoft.com/office/drawing/2014/main" id="{00000000-0008-0000-0800-0000C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5" name="Text Box 82">
          <a:extLst>
            <a:ext uri="{FF2B5EF4-FFF2-40B4-BE49-F238E27FC236}">
              <a16:creationId xmlns:a16="http://schemas.microsoft.com/office/drawing/2014/main" id="{00000000-0008-0000-0800-0000C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6" name="Text Box 83">
          <a:extLst>
            <a:ext uri="{FF2B5EF4-FFF2-40B4-BE49-F238E27FC236}">
              <a16:creationId xmlns:a16="http://schemas.microsoft.com/office/drawing/2014/main" id="{00000000-0008-0000-0800-0000D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7" name="Text Box 84">
          <a:extLst>
            <a:ext uri="{FF2B5EF4-FFF2-40B4-BE49-F238E27FC236}">
              <a16:creationId xmlns:a16="http://schemas.microsoft.com/office/drawing/2014/main" id="{00000000-0008-0000-0800-0000D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8" name="Text Box 85">
          <a:extLst>
            <a:ext uri="{FF2B5EF4-FFF2-40B4-BE49-F238E27FC236}">
              <a16:creationId xmlns:a16="http://schemas.microsoft.com/office/drawing/2014/main" id="{00000000-0008-0000-0800-0000D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9" name="Text Box 86">
          <a:extLst>
            <a:ext uri="{FF2B5EF4-FFF2-40B4-BE49-F238E27FC236}">
              <a16:creationId xmlns:a16="http://schemas.microsoft.com/office/drawing/2014/main" id="{00000000-0008-0000-0800-0000D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0" name="Text Box 87">
          <a:extLst>
            <a:ext uri="{FF2B5EF4-FFF2-40B4-BE49-F238E27FC236}">
              <a16:creationId xmlns:a16="http://schemas.microsoft.com/office/drawing/2014/main" id="{00000000-0008-0000-0800-0000D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1" name="Text Box 88">
          <a:extLst>
            <a:ext uri="{FF2B5EF4-FFF2-40B4-BE49-F238E27FC236}">
              <a16:creationId xmlns:a16="http://schemas.microsoft.com/office/drawing/2014/main" id="{00000000-0008-0000-0800-0000D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2" name="Text Box 89">
          <a:extLst>
            <a:ext uri="{FF2B5EF4-FFF2-40B4-BE49-F238E27FC236}">
              <a16:creationId xmlns:a16="http://schemas.microsoft.com/office/drawing/2014/main" id="{00000000-0008-0000-0800-0000D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3" name="Text Box 90">
          <a:extLst>
            <a:ext uri="{FF2B5EF4-FFF2-40B4-BE49-F238E27FC236}">
              <a16:creationId xmlns:a16="http://schemas.microsoft.com/office/drawing/2014/main" id="{00000000-0008-0000-0800-0000D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4" name="Text Box 91">
          <a:extLst>
            <a:ext uri="{FF2B5EF4-FFF2-40B4-BE49-F238E27FC236}">
              <a16:creationId xmlns:a16="http://schemas.microsoft.com/office/drawing/2014/main" id="{00000000-0008-0000-0800-0000D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5" name="Text Box 92">
          <a:extLst>
            <a:ext uri="{FF2B5EF4-FFF2-40B4-BE49-F238E27FC236}">
              <a16:creationId xmlns:a16="http://schemas.microsoft.com/office/drawing/2014/main" id="{00000000-0008-0000-0800-0000D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6" name="Text Box 93">
          <a:extLst>
            <a:ext uri="{FF2B5EF4-FFF2-40B4-BE49-F238E27FC236}">
              <a16:creationId xmlns:a16="http://schemas.microsoft.com/office/drawing/2014/main" id="{00000000-0008-0000-0800-0000D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7" name="Text Box 94">
          <a:extLst>
            <a:ext uri="{FF2B5EF4-FFF2-40B4-BE49-F238E27FC236}">
              <a16:creationId xmlns:a16="http://schemas.microsoft.com/office/drawing/2014/main" id="{00000000-0008-0000-0800-0000D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8" name="Text Box 95">
          <a:extLst>
            <a:ext uri="{FF2B5EF4-FFF2-40B4-BE49-F238E27FC236}">
              <a16:creationId xmlns:a16="http://schemas.microsoft.com/office/drawing/2014/main" id="{00000000-0008-0000-0800-0000D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9" name="Text Box 96">
          <a:extLst>
            <a:ext uri="{FF2B5EF4-FFF2-40B4-BE49-F238E27FC236}">
              <a16:creationId xmlns:a16="http://schemas.microsoft.com/office/drawing/2014/main" id="{00000000-0008-0000-0800-0000D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90" name="Text Box 97">
          <a:extLst>
            <a:ext uri="{FF2B5EF4-FFF2-40B4-BE49-F238E27FC236}">
              <a16:creationId xmlns:a16="http://schemas.microsoft.com/office/drawing/2014/main" id="{00000000-0008-0000-0800-0000D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1" name="Text Box 100">
          <a:extLst>
            <a:ext uri="{FF2B5EF4-FFF2-40B4-BE49-F238E27FC236}">
              <a16:creationId xmlns:a16="http://schemas.microsoft.com/office/drawing/2014/main" id="{00000000-0008-0000-0800-0000D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2" name="Text Box 101">
          <a:extLst>
            <a:ext uri="{FF2B5EF4-FFF2-40B4-BE49-F238E27FC236}">
              <a16:creationId xmlns:a16="http://schemas.microsoft.com/office/drawing/2014/main" id="{00000000-0008-0000-0800-0000E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3" name="Text Box 102">
          <a:extLst>
            <a:ext uri="{FF2B5EF4-FFF2-40B4-BE49-F238E27FC236}">
              <a16:creationId xmlns:a16="http://schemas.microsoft.com/office/drawing/2014/main" id="{00000000-0008-0000-0800-0000E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4" name="Text Box 103">
          <a:extLst>
            <a:ext uri="{FF2B5EF4-FFF2-40B4-BE49-F238E27FC236}">
              <a16:creationId xmlns:a16="http://schemas.microsoft.com/office/drawing/2014/main" id="{00000000-0008-0000-0800-0000E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5" name="Text Box 104">
          <a:extLst>
            <a:ext uri="{FF2B5EF4-FFF2-40B4-BE49-F238E27FC236}">
              <a16:creationId xmlns:a16="http://schemas.microsoft.com/office/drawing/2014/main" id="{00000000-0008-0000-0800-0000E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6" name="Text Box 105">
          <a:extLst>
            <a:ext uri="{FF2B5EF4-FFF2-40B4-BE49-F238E27FC236}">
              <a16:creationId xmlns:a16="http://schemas.microsoft.com/office/drawing/2014/main" id="{00000000-0008-0000-0800-0000E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7" name="Text Box 106">
          <a:extLst>
            <a:ext uri="{FF2B5EF4-FFF2-40B4-BE49-F238E27FC236}">
              <a16:creationId xmlns:a16="http://schemas.microsoft.com/office/drawing/2014/main" id="{00000000-0008-0000-0800-0000E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8" name="Text Box 107">
          <a:extLst>
            <a:ext uri="{FF2B5EF4-FFF2-40B4-BE49-F238E27FC236}">
              <a16:creationId xmlns:a16="http://schemas.microsoft.com/office/drawing/2014/main" id="{00000000-0008-0000-0800-0000E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9" name="Text Box 108">
          <a:extLst>
            <a:ext uri="{FF2B5EF4-FFF2-40B4-BE49-F238E27FC236}">
              <a16:creationId xmlns:a16="http://schemas.microsoft.com/office/drawing/2014/main" id="{00000000-0008-0000-0800-0000E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0" name="Text Box 109">
          <a:extLst>
            <a:ext uri="{FF2B5EF4-FFF2-40B4-BE49-F238E27FC236}">
              <a16:creationId xmlns:a16="http://schemas.microsoft.com/office/drawing/2014/main" id="{00000000-0008-0000-0800-0000E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1" name="Text Box 110">
          <a:extLst>
            <a:ext uri="{FF2B5EF4-FFF2-40B4-BE49-F238E27FC236}">
              <a16:creationId xmlns:a16="http://schemas.microsoft.com/office/drawing/2014/main" id="{00000000-0008-0000-0800-0000E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2" name="Text Box 111">
          <a:extLst>
            <a:ext uri="{FF2B5EF4-FFF2-40B4-BE49-F238E27FC236}">
              <a16:creationId xmlns:a16="http://schemas.microsoft.com/office/drawing/2014/main" id="{00000000-0008-0000-0800-0000E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3" name="Text Box 119">
          <a:extLst>
            <a:ext uri="{FF2B5EF4-FFF2-40B4-BE49-F238E27FC236}">
              <a16:creationId xmlns:a16="http://schemas.microsoft.com/office/drawing/2014/main" id="{00000000-0008-0000-0800-0000E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4" name="Text Box 120">
          <a:extLst>
            <a:ext uri="{FF2B5EF4-FFF2-40B4-BE49-F238E27FC236}">
              <a16:creationId xmlns:a16="http://schemas.microsoft.com/office/drawing/2014/main" id="{00000000-0008-0000-0800-0000E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5" name="Text Box 121">
          <a:extLst>
            <a:ext uri="{FF2B5EF4-FFF2-40B4-BE49-F238E27FC236}">
              <a16:creationId xmlns:a16="http://schemas.microsoft.com/office/drawing/2014/main" id="{00000000-0008-0000-0800-0000E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6" name="Text Box 122">
          <a:extLst>
            <a:ext uri="{FF2B5EF4-FFF2-40B4-BE49-F238E27FC236}">
              <a16:creationId xmlns:a16="http://schemas.microsoft.com/office/drawing/2014/main" id="{00000000-0008-0000-0800-0000E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7" name="Text Box 123">
          <a:extLst>
            <a:ext uri="{FF2B5EF4-FFF2-40B4-BE49-F238E27FC236}">
              <a16:creationId xmlns:a16="http://schemas.microsoft.com/office/drawing/2014/main" id="{00000000-0008-0000-0800-0000E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8" name="Text Box 124">
          <a:extLst>
            <a:ext uri="{FF2B5EF4-FFF2-40B4-BE49-F238E27FC236}">
              <a16:creationId xmlns:a16="http://schemas.microsoft.com/office/drawing/2014/main" id="{00000000-0008-0000-0800-0000F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9" name="Text Box 125">
          <a:extLst>
            <a:ext uri="{FF2B5EF4-FFF2-40B4-BE49-F238E27FC236}">
              <a16:creationId xmlns:a16="http://schemas.microsoft.com/office/drawing/2014/main" id="{00000000-0008-0000-0800-0000F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0" name="Text Box 126">
          <a:extLst>
            <a:ext uri="{FF2B5EF4-FFF2-40B4-BE49-F238E27FC236}">
              <a16:creationId xmlns:a16="http://schemas.microsoft.com/office/drawing/2014/main" id="{00000000-0008-0000-0800-0000F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1" name="Text Box 127">
          <a:extLst>
            <a:ext uri="{FF2B5EF4-FFF2-40B4-BE49-F238E27FC236}">
              <a16:creationId xmlns:a16="http://schemas.microsoft.com/office/drawing/2014/main" id="{00000000-0008-0000-0800-0000F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2" name="Text Box 128">
          <a:extLst>
            <a:ext uri="{FF2B5EF4-FFF2-40B4-BE49-F238E27FC236}">
              <a16:creationId xmlns:a16="http://schemas.microsoft.com/office/drawing/2014/main" id="{00000000-0008-0000-0800-0000F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3" name="Text Box 129">
          <a:extLst>
            <a:ext uri="{FF2B5EF4-FFF2-40B4-BE49-F238E27FC236}">
              <a16:creationId xmlns:a16="http://schemas.microsoft.com/office/drawing/2014/main" id="{00000000-0008-0000-0800-0000F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4" name="Text Box 130">
          <a:extLst>
            <a:ext uri="{FF2B5EF4-FFF2-40B4-BE49-F238E27FC236}">
              <a16:creationId xmlns:a16="http://schemas.microsoft.com/office/drawing/2014/main" id="{00000000-0008-0000-0800-0000F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5" name="Text Box 133">
          <a:extLst>
            <a:ext uri="{FF2B5EF4-FFF2-40B4-BE49-F238E27FC236}">
              <a16:creationId xmlns:a16="http://schemas.microsoft.com/office/drawing/2014/main" id="{00000000-0008-0000-0800-0000F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6" name="Text Box 134">
          <a:extLst>
            <a:ext uri="{FF2B5EF4-FFF2-40B4-BE49-F238E27FC236}">
              <a16:creationId xmlns:a16="http://schemas.microsoft.com/office/drawing/2014/main" id="{00000000-0008-0000-0800-0000F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7" name="Text Box 135">
          <a:extLst>
            <a:ext uri="{FF2B5EF4-FFF2-40B4-BE49-F238E27FC236}">
              <a16:creationId xmlns:a16="http://schemas.microsoft.com/office/drawing/2014/main" id="{00000000-0008-0000-0800-0000F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8" name="Text Box 136">
          <a:extLst>
            <a:ext uri="{FF2B5EF4-FFF2-40B4-BE49-F238E27FC236}">
              <a16:creationId xmlns:a16="http://schemas.microsoft.com/office/drawing/2014/main" id="{00000000-0008-0000-0800-0000F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9" name="Text Box 137">
          <a:extLst>
            <a:ext uri="{FF2B5EF4-FFF2-40B4-BE49-F238E27FC236}">
              <a16:creationId xmlns:a16="http://schemas.microsoft.com/office/drawing/2014/main" id="{00000000-0008-0000-0800-0000F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0" name="Text Box 138">
          <a:extLst>
            <a:ext uri="{FF2B5EF4-FFF2-40B4-BE49-F238E27FC236}">
              <a16:creationId xmlns:a16="http://schemas.microsoft.com/office/drawing/2014/main" id="{00000000-0008-0000-0800-0000F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1" name="Text Box 139">
          <a:extLst>
            <a:ext uri="{FF2B5EF4-FFF2-40B4-BE49-F238E27FC236}">
              <a16:creationId xmlns:a16="http://schemas.microsoft.com/office/drawing/2014/main" id="{00000000-0008-0000-0800-0000F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2" name="Text Box 140">
          <a:extLst>
            <a:ext uri="{FF2B5EF4-FFF2-40B4-BE49-F238E27FC236}">
              <a16:creationId xmlns:a16="http://schemas.microsoft.com/office/drawing/2014/main" id="{00000000-0008-0000-0800-0000F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3" name="Text Box 141">
          <a:extLst>
            <a:ext uri="{FF2B5EF4-FFF2-40B4-BE49-F238E27FC236}">
              <a16:creationId xmlns:a16="http://schemas.microsoft.com/office/drawing/2014/main" id="{00000000-0008-0000-0800-0000F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4" name="Text Box 142">
          <a:extLst>
            <a:ext uri="{FF2B5EF4-FFF2-40B4-BE49-F238E27FC236}">
              <a16:creationId xmlns:a16="http://schemas.microsoft.com/office/drawing/2014/main" id="{00000000-0008-0000-0800-00000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5" name="Text Box 143">
          <a:extLst>
            <a:ext uri="{FF2B5EF4-FFF2-40B4-BE49-F238E27FC236}">
              <a16:creationId xmlns:a16="http://schemas.microsoft.com/office/drawing/2014/main" id="{00000000-0008-0000-0800-00000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6" name="Text Box 144">
          <a:extLst>
            <a:ext uri="{FF2B5EF4-FFF2-40B4-BE49-F238E27FC236}">
              <a16:creationId xmlns:a16="http://schemas.microsoft.com/office/drawing/2014/main" id="{00000000-0008-0000-0800-00000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7" name="Text Box 145">
          <a:extLst>
            <a:ext uri="{FF2B5EF4-FFF2-40B4-BE49-F238E27FC236}">
              <a16:creationId xmlns:a16="http://schemas.microsoft.com/office/drawing/2014/main" id="{00000000-0008-0000-0800-00000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8" name="Text Box 146">
          <a:extLst>
            <a:ext uri="{FF2B5EF4-FFF2-40B4-BE49-F238E27FC236}">
              <a16:creationId xmlns:a16="http://schemas.microsoft.com/office/drawing/2014/main" id="{00000000-0008-0000-0800-00000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9" name="Text Box 147">
          <a:extLst>
            <a:ext uri="{FF2B5EF4-FFF2-40B4-BE49-F238E27FC236}">
              <a16:creationId xmlns:a16="http://schemas.microsoft.com/office/drawing/2014/main" id="{00000000-0008-0000-0800-00000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0" name="Text Box 148">
          <a:extLst>
            <a:ext uri="{FF2B5EF4-FFF2-40B4-BE49-F238E27FC236}">
              <a16:creationId xmlns:a16="http://schemas.microsoft.com/office/drawing/2014/main" id="{00000000-0008-0000-0800-00000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1" name="Text Box 149">
          <a:extLst>
            <a:ext uri="{FF2B5EF4-FFF2-40B4-BE49-F238E27FC236}">
              <a16:creationId xmlns:a16="http://schemas.microsoft.com/office/drawing/2014/main" id="{00000000-0008-0000-0800-00000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2" name="Text Box 150">
          <a:extLst>
            <a:ext uri="{FF2B5EF4-FFF2-40B4-BE49-F238E27FC236}">
              <a16:creationId xmlns:a16="http://schemas.microsoft.com/office/drawing/2014/main" id="{00000000-0008-0000-0800-00000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3" name="Text Box 151">
          <a:extLst>
            <a:ext uri="{FF2B5EF4-FFF2-40B4-BE49-F238E27FC236}">
              <a16:creationId xmlns:a16="http://schemas.microsoft.com/office/drawing/2014/main" id="{00000000-0008-0000-0800-00000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4" name="Text Box 152">
          <a:extLst>
            <a:ext uri="{FF2B5EF4-FFF2-40B4-BE49-F238E27FC236}">
              <a16:creationId xmlns:a16="http://schemas.microsoft.com/office/drawing/2014/main" id="{00000000-0008-0000-0800-00000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5" name="Text Box 153">
          <a:extLst>
            <a:ext uri="{FF2B5EF4-FFF2-40B4-BE49-F238E27FC236}">
              <a16:creationId xmlns:a16="http://schemas.microsoft.com/office/drawing/2014/main" id="{00000000-0008-0000-0800-00000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6" name="Text Box 154">
          <a:extLst>
            <a:ext uri="{FF2B5EF4-FFF2-40B4-BE49-F238E27FC236}">
              <a16:creationId xmlns:a16="http://schemas.microsoft.com/office/drawing/2014/main" id="{00000000-0008-0000-0800-00000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7" name="Text Box 155">
          <a:extLst>
            <a:ext uri="{FF2B5EF4-FFF2-40B4-BE49-F238E27FC236}">
              <a16:creationId xmlns:a16="http://schemas.microsoft.com/office/drawing/2014/main" id="{00000000-0008-0000-0800-00000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8" name="Text Box 156">
          <a:extLst>
            <a:ext uri="{FF2B5EF4-FFF2-40B4-BE49-F238E27FC236}">
              <a16:creationId xmlns:a16="http://schemas.microsoft.com/office/drawing/2014/main" id="{00000000-0008-0000-0800-00000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9" name="Text Box 157">
          <a:extLst>
            <a:ext uri="{FF2B5EF4-FFF2-40B4-BE49-F238E27FC236}">
              <a16:creationId xmlns:a16="http://schemas.microsoft.com/office/drawing/2014/main" id="{00000000-0008-0000-0800-00000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0" name="Text Box 158">
          <a:extLst>
            <a:ext uri="{FF2B5EF4-FFF2-40B4-BE49-F238E27FC236}">
              <a16:creationId xmlns:a16="http://schemas.microsoft.com/office/drawing/2014/main" id="{00000000-0008-0000-0800-00001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1" name="Text Box 159">
          <a:extLst>
            <a:ext uri="{FF2B5EF4-FFF2-40B4-BE49-F238E27FC236}">
              <a16:creationId xmlns:a16="http://schemas.microsoft.com/office/drawing/2014/main" id="{00000000-0008-0000-0800-00001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2" name="Text Box 160">
          <a:extLst>
            <a:ext uri="{FF2B5EF4-FFF2-40B4-BE49-F238E27FC236}">
              <a16:creationId xmlns:a16="http://schemas.microsoft.com/office/drawing/2014/main" id="{00000000-0008-0000-0800-00001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3" name="Text Box 161">
          <a:extLst>
            <a:ext uri="{FF2B5EF4-FFF2-40B4-BE49-F238E27FC236}">
              <a16:creationId xmlns:a16="http://schemas.microsoft.com/office/drawing/2014/main" id="{00000000-0008-0000-0800-00001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4" name="Text Box 162">
          <a:extLst>
            <a:ext uri="{FF2B5EF4-FFF2-40B4-BE49-F238E27FC236}">
              <a16:creationId xmlns:a16="http://schemas.microsoft.com/office/drawing/2014/main" id="{00000000-0008-0000-0800-00001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5" name="Text Box 163">
          <a:extLst>
            <a:ext uri="{FF2B5EF4-FFF2-40B4-BE49-F238E27FC236}">
              <a16:creationId xmlns:a16="http://schemas.microsoft.com/office/drawing/2014/main" id="{00000000-0008-0000-0800-00001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6" name="Text Box 164">
          <a:extLst>
            <a:ext uri="{FF2B5EF4-FFF2-40B4-BE49-F238E27FC236}">
              <a16:creationId xmlns:a16="http://schemas.microsoft.com/office/drawing/2014/main" id="{00000000-0008-0000-0800-00001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7" name="Text Box 165">
          <a:extLst>
            <a:ext uri="{FF2B5EF4-FFF2-40B4-BE49-F238E27FC236}">
              <a16:creationId xmlns:a16="http://schemas.microsoft.com/office/drawing/2014/main" id="{00000000-0008-0000-0800-00001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8" name="Text Box 166">
          <a:extLst>
            <a:ext uri="{FF2B5EF4-FFF2-40B4-BE49-F238E27FC236}">
              <a16:creationId xmlns:a16="http://schemas.microsoft.com/office/drawing/2014/main" id="{00000000-0008-0000-0800-00001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9" name="Text Box 167">
          <a:extLst>
            <a:ext uri="{FF2B5EF4-FFF2-40B4-BE49-F238E27FC236}">
              <a16:creationId xmlns:a16="http://schemas.microsoft.com/office/drawing/2014/main" id="{00000000-0008-0000-0800-00001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0" name="Text Box 168">
          <a:extLst>
            <a:ext uri="{FF2B5EF4-FFF2-40B4-BE49-F238E27FC236}">
              <a16:creationId xmlns:a16="http://schemas.microsoft.com/office/drawing/2014/main" id="{00000000-0008-0000-0800-00001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1" name="Text Box 169">
          <a:extLst>
            <a:ext uri="{FF2B5EF4-FFF2-40B4-BE49-F238E27FC236}">
              <a16:creationId xmlns:a16="http://schemas.microsoft.com/office/drawing/2014/main" id="{00000000-0008-0000-0800-00001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2" name="Text Box 170">
          <a:extLst>
            <a:ext uri="{FF2B5EF4-FFF2-40B4-BE49-F238E27FC236}">
              <a16:creationId xmlns:a16="http://schemas.microsoft.com/office/drawing/2014/main" id="{00000000-0008-0000-0800-00001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3" name="Text Box 171">
          <a:extLst>
            <a:ext uri="{FF2B5EF4-FFF2-40B4-BE49-F238E27FC236}">
              <a16:creationId xmlns:a16="http://schemas.microsoft.com/office/drawing/2014/main" id="{00000000-0008-0000-0800-00001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4" name="Text Box 172">
          <a:extLst>
            <a:ext uri="{FF2B5EF4-FFF2-40B4-BE49-F238E27FC236}">
              <a16:creationId xmlns:a16="http://schemas.microsoft.com/office/drawing/2014/main" id="{00000000-0008-0000-0800-00001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5" name="Text Box 173">
          <a:extLst>
            <a:ext uri="{FF2B5EF4-FFF2-40B4-BE49-F238E27FC236}">
              <a16:creationId xmlns:a16="http://schemas.microsoft.com/office/drawing/2014/main" id="{00000000-0008-0000-0800-00001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6" name="Text Box 174">
          <a:extLst>
            <a:ext uri="{FF2B5EF4-FFF2-40B4-BE49-F238E27FC236}">
              <a16:creationId xmlns:a16="http://schemas.microsoft.com/office/drawing/2014/main" id="{00000000-0008-0000-0800-00002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7" name="Text Box 175">
          <a:extLst>
            <a:ext uri="{FF2B5EF4-FFF2-40B4-BE49-F238E27FC236}">
              <a16:creationId xmlns:a16="http://schemas.microsoft.com/office/drawing/2014/main" id="{00000000-0008-0000-0800-00002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8" name="Text Box 176">
          <a:extLst>
            <a:ext uri="{FF2B5EF4-FFF2-40B4-BE49-F238E27FC236}">
              <a16:creationId xmlns:a16="http://schemas.microsoft.com/office/drawing/2014/main" id="{00000000-0008-0000-0800-00002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9" name="Text Box 177">
          <a:extLst>
            <a:ext uri="{FF2B5EF4-FFF2-40B4-BE49-F238E27FC236}">
              <a16:creationId xmlns:a16="http://schemas.microsoft.com/office/drawing/2014/main" id="{00000000-0008-0000-0800-00002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0" name="Text Box 178">
          <a:extLst>
            <a:ext uri="{FF2B5EF4-FFF2-40B4-BE49-F238E27FC236}">
              <a16:creationId xmlns:a16="http://schemas.microsoft.com/office/drawing/2014/main" id="{00000000-0008-0000-0800-00002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1" name="Text Box 179">
          <a:extLst>
            <a:ext uri="{FF2B5EF4-FFF2-40B4-BE49-F238E27FC236}">
              <a16:creationId xmlns:a16="http://schemas.microsoft.com/office/drawing/2014/main" id="{00000000-0008-0000-0800-00002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2" name="Text Box 180">
          <a:extLst>
            <a:ext uri="{FF2B5EF4-FFF2-40B4-BE49-F238E27FC236}">
              <a16:creationId xmlns:a16="http://schemas.microsoft.com/office/drawing/2014/main" id="{00000000-0008-0000-0800-00002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3" name="Text Box 181">
          <a:extLst>
            <a:ext uri="{FF2B5EF4-FFF2-40B4-BE49-F238E27FC236}">
              <a16:creationId xmlns:a16="http://schemas.microsoft.com/office/drawing/2014/main" id="{00000000-0008-0000-0800-00002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4" name="Text Box 182">
          <a:extLst>
            <a:ext uri="{FF2B5EF4-FFF2-40B4-BE49-F238E27FC236}">
              <a16:creationId xmlns:a16="http://schemas.microsoft.com/office/drawing/2014/main" id="{00000000-0008-0000-0800-00002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5" name="Text Box 183">
          <a:extLst>
            <a:ext uri="{FF2B5EF4-FFF2-40B4-BE49-F238E27FC236}">
              <a16:creationId xmlns:a16="http://schemas.microsoft.com/office/drawing/2014/main" id="{00000000-0008-0000-0800-00002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6" name="Text Box 184">
          <a:extLst>
            <a:ext uri="{FF2B5EF4-FFF2-40B4-BE49-F238E27FC236}">
              <a16:creationId xmlns:a16="http://schemas.microsoft.com/office/drawing/2014/main" id="{00000000-0008-0000-0800-00002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7" name="Text Box 185">
          <a:extLst>
            <a:ext uri="{FF2B5EF4-FFF2-40B4-BE49-F238E27FC236}">
              <a16:creationId xmlns:a16="http://schemas.microsoft.com/office/drawing/2014/main" id="{00000000-0008-0000-0800-00002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8" name="Text Box 186">
          <a:extLst>
            <a:ext uri="{FF2B5EF4-FFF2-40B4-BE49-F238E27FC236}">
              <a16:creationId xmlns:a16="http://schemas.microsoft.com/office/drawing/2014/main" id="{00000000-0008-0000-0800-00002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9" name="Text Box 187">
          <a:extLst>
            <a:ext uri="{FF2B5EF4-FFF2-40B4-BE49-F238E27FC236}">
              <a16:creationId xmlns:a16="http://schemas.microsoft.com/office/drawing/2014/main" id="{00000000-0008-0000-0800-00002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0" name="Text Box 188">
          <a:extLst>
            <a:ext uri="{FF2B5EF4-FFF2-40B4-BE49-F238E27FC236}">
              <a16:creationId xmlns:a16="http://schemas.microsoft.com/office/drawing/2014/main" id="{00000000-0008-0000-0800-00002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1" name="Text Box 189">
          <a:extLst>
            <a:ext uri="{FF2B5EF4-FFF2-40B4-BE49-F238E27FC236}">
              <a16:creationId xmlns:a16="http://schemas.microsoft.com/office/drawing/2014/main" id="{00000000-0008-0000-0800-00002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2" name="Text Box 190">
          <a:extLst>
            <a:ext uri="{FF2B5EF4-FFF2-40B4-BE49-F238E27FC236}">
              <a16:creationId xmlns:a16="http://schemas.microsoft.com/office/drawing/2014/main" id="{00000000-0008-0000-0800-00003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3" name="Text Box 191">
          <a:extLst>
            <a:ext uri="{FF2B5EF4-FFF2-40B4-BE49-F238E27FC236}">
              <a16:creationId xmlns:a16="http://schemas.microsoft.com/office/drawing/2014/main" id="{00000000-0008-0000-0800-00003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4" name="Text Box 192">
          <a:extLst>
            <a:ext uri="{FF2B5EF4-FFF2-40B4-BE49-F238E27FC236}">
              <a16:creationId xmlns:a16="http://schemas.microsoft.com/office/drawing/2014/main" id="{00000000-0008-0000-0800-00003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5" name="Text Box 193">
          <a:extLst>
            <a:ext uri="{FF2B5EF4-FFF2-40B4-BE49-F238E27FC236}">
              <a16:creationId xmlns:a16="http://schemas.microsoft.com/office/drawing/2014/main" id="{00000000-0008-0000-0800-00003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6" name="Text Box 194">
          <a:extLst>
            <a:ext uri="{FF2B5EF4-FFF2-40B4-BE49-F238E27FC236}">
              <a16:creationId xmlns:a16="http://schemas.microsoft.com/office/drawing/2014/main" id="{00000000-0008-0000-0800-00003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7" name="Text Box 195">
          <a:extLst>
            <a:ext uri="{FF2B5EF4-FFF2-40B4-BE49-F238E27FC236}">
              <a16:creationId xmlns:a16="http://schemas.microsoft.com/office/drawing/2014/main" id="{00000000-0008-0000-0800-00003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8" name="Text Box 196">
          <a:extLst>
            <a:ext uri="{FF2B5EF4-FFF2-40B4-BE49-F238E27FC236}">
              <a16:creationId xmlns:a16="http://schemas.microsoft.com/office/drawing/2014/main" id="{00000000-0008-0000-0800-00003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9" name="Text Box 197">
          <a:extLst>
            <a:ext uri="{FF2B5EF4-FFF2-40B4-BE49-F238E27FC236}">
              <a16:creationId xmlns:a16="http://schemas.microsoft.com/office/drawing/2014/main" id="{00000000-0008-0000-0800-00003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0" name="Text Box 198">
          <a:extLst>
            <a:ext uri="{FF2B5EF4-FFF2-40B4-BE49-F238E27FC236}">
              <a16:creationId xmlns:a16="http://schemas.microsoft.com/office/drawing/2014/main" id="{00000000-0008-0000-0800-00003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1" name="Text Box 199">
          <a:extLst>
            <a:ext uri="{FF2B5EF4-FFF2-40B4-BE49-F238E27FC236}">
              <a16:creationId xmlns:a16="http://schemas.microsoft.com/office/drawing/2014/main" id="{00000000-0008-0000-0800-00003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2" name="Text Box 200">
          <a:extLst>
            <a:ext uri="{FF2B5EF4-FFF2-40B4-BE49-F238E27FC236}">
              <a16:creationId xmlns:a16="http://schemas.microsoft.com/office/drawing/2014/main" id="{00000000-0008-0000-0800-00003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3" name="Text Box 201">
          <a:extLst>
            <a:ext uri="{FF2B5EF4-FFF2-40B4-BE49-F238E27FC236}">
              <a16:creationId xmlns:a16="http://schemas.microsoft.com/office/drawing/2014/main" id="{00000000-0008-0000-0800-00003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4" name="Text Box 202">
          <a:extLst>
            <a:ext uri="{FF2B5EF4-FFF2-40B4-BE49-F238E27FC236}">
              <a16:creationId xmlns:a16="http://schemas.microsoft.com/office/drawing/2014/main" id="{00000000-0008-0000-0800-00003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5" name="Text Box 203">
          <a:extLst>
            <a:ext uri="{FF2B5EF4-FFF2-40B4-BE49-F238E27FC236}">
              <a16:creationId xmlns:a16="http://schemas.microsoft.com/office/drawing/2014/main" id="{00000000-0008-0000-0800-00003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6" name="Text Box 204">
          <a:extLst>
            <a:ext uri="{FF2B5EF4-FFF2-40B4-BE49-F238E27FC236}">
              <a16:creationId xmlns:a16="http://schemas.microsoft.com/office/drawing/2014/main" id="{00000000-0008-0000-0800-00003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7" name="Text Box 205">
          <a:extLst>
            <a:ext uri="{FF2B5EF4-FFF2-40B4-BE49-F238E27FC236}">
              <a16:creationId xmlns:a16="http://schemas.microsoft.com/office/drawing/2014/main" id="{00000000-0008-0000-0800-00003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8" name="Text Box 206">
          <a:extLst>
            <a:ext uri="{FF2B5EF4-FFF2-40B4-BE49-F238E27FC236}">
              <a16:creationId xmlns:a16="http://schemas.microsoft.com/office/drawing/2014/main" id="{00000000-0008-0000-0800-00004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9" name="Text Box 207">
          <a:extLst>
            <a:ext uri="{FF2B5EF4-FFF2-40B4-BE49-F238E27FC236}">
              <a16:creationId xmlns:a16="http://schemas.microsoft.com/office/drawing/2014/main" id="{00000000-0008-0000-0800-00004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0" name="Text Box 208">
          <a:extLst>
            <a:ext uri="{FF2B5EF4-FFF2-40B4-BE49-F238E27FC236}">
              <a16:creationId xmlns:a16="http://schemas.microsoft.com/office/drawing/2014/main" id="{00000000-0008-0000-0800-00004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1" name="Text Box 209">
          <a:extLst>
            <a:ext uri="{FF2B5EF4-FFF2-40B4-BE49-F238E27FC236}">
              <a16:creationId xmlns:a16="http://schemas.microsoft.com/office/drawing/2014/main" id="{00000000-0008-0000-0800-00004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2" name="Text Box 210">
          <a:extLst>
            <a:ext uri="{FF2B5EF4-FFF2-40B4-BE49-F238E27FC236}">
              <a16:creationId xmlns:a16="http://schemas.microsoft.com/office/drawing/2014/main" id="{00000000-0008-0000-0800-00004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3" name="Text Box 211">
          <a:extLst>
            <a:ext uri="{FF2B5EF4-FFF2-40B4-BE49-F238E27FC236}">
              <a16:creationId xmlns:a16="http://schemas.microsoft.com/office/drawing/2014/main" id="{00000000-0008-0000-0800-00004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4" name="Text Box 212">
          <a:extLst>
            <a:ext uri="{FF2B5EF4-FFF2-40B4-BE49-F238E27FC236}">
              <a16:creationId xmlns:a16="http://schemas.microsoft.com/office/drawing/2014/main" id="{00000000-0008-0000-0800-00004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5" name="Text Box 213">
          <a:extLst>
            <a:ext uri="{FF2B5EF4-FFF2-40B4-BE49-F238E27FC236}">
              <a16:creationId xmlns:a16="http://schemas.microsoft.com/office/drawing/2014/main" id="{00000000-0008-0000-0800-00004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6" name="Text Box 214">
          <a:extLst>
            <a:ext uri="{FF2B5EF4-FFF2-40B4-BE49-F238E27FC236}">
              <a16:creationId xmlns:a16="http://schemas.microsoft.com/office/drawing/2014/main" id="{00000000-0008-0000-0800-00004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7" name="Text Box 215">
          <a:extLst>
            <a:ext uri="{FF2B5EF4-FFF2-40B4-BE49-F238E27FC236}">
              <a16:creationId xmlns:a16="http://schemas.microsoft.com/office/drawing/2014/main" id="{00000000-0008-0000-0800-00004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8" name="Text Box 216">
          <a:extLst>
            <a:ext uri="{FF2B5EF4-FFF2-40B4-BE49-F238E27FC236}">
              <a16:creationId xmlns:a16="http://schemas.microsoft.com/office/drawing/2014/main" id="{00000000-0008-0000-0800-00004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9" name="Text Box 217">
          <a:extLst>
            <a:ext uri="{FF2B5EF4-FFF2-40B4-BE49-F238E27FC236}">
              <a16:creationId xmlns:a16="http://schemas.microsoft.com/office/drawing/2014/main" id="{00000000-0008-0000-0800-00004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0" name="Text Box 218">
          <a:extLst>
            <a:ext uri="{FF2B5EF4-FFF2-40B4-BE49-F238E27FC236}">
              <a16:creationId xmlns:a16="http://schemas.microsoft.com/office/drawing/2014/main" id="{00000000-0008-0000-0800-00004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1" name="Text Box 219">
          <a:extLst>
            <a:ext uri="{FF2B5EF4-FFF2-40B4-BE49-F238E27FC236}">
              <a16:creationId xmlns:a16="http://schemas.microsoft.com/office/drawing/2014/main" id="{00000000-0008-0000-0800-00004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2" name="Text Box 220">
          <a:extLst>
            <a:ext uri="{FF2B5EF4-FFF2-40B4-BE49-F238E27FC236}">
              <a16:creationId xmlns:a16="http://schemas.microsoft.com/office/drawing/2014/main" id="{00000000-0008-0000-0800-00004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3" name="Text Box 221">
          <a:extLst>
            <a:ext uri="{FF2B5EF4-FFF2-40B4-BE49-F238E27FC236}">
              <a16:creationId xmlns:a16="http://schemas.microsoft.com/office/drawing/2014/main" id="{00000000-0008-0000-0800-00004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4" name="Text Box 222">
          <a:extLst>
            <a:ext uri="{FF2B5EF4-FFF2-40B4-BE49-F238E27FC236}">
              <a16:creationId xmlns:a16="http://schemas.microsoft.com/office/drawing/2014/main" id="{00000000-0008-0000-0800-00005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5" name="Text Box 223">
          <a:extLst>
            <a:ext uri="{FF2B5EF4-FFF2-40B4-BE49-F238E27FC236}">
              <a16:creationId xmlns:a16="http://schemas.microsoft.com/office/drawing/2014/main" id="{00000000-0008-0000-0800-00005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6" name="Text Box 224">
          <a:extLst>
            <a:ext uri="{FF2B5EF4-FFF2-40B4-BE49-F238E27FC236}">
              <a16:creationId xmlns:a16="http://schemas.microsoft.com/office/drawing/2014/main" id="{00000000-0008-0000-0800-00005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7" name="Text Box 225">
          <a:extLst>
            <a:ext uri="{FF2B5EF4-FFF2-40B4-BE49-F238E27FC236}">
              <a16:creationId xmlns:a16="http://schemas.microsoft.com/office/drawing/2014/main" id="{00000000-0008-0000-0800-00005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8" name="Text Box 226">
          <a:extLst>
            <a:ext uri="{FF2B5EF4-FFF2-40B4-BE49-F238E27FC236}">
              <a16:creationId xmlns:a16="http://schemas.microsoft.com/office/drawing/2014/main" id="{00000000-0008-0000-0800-00005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09" name="Text Box 227">
          <a:extLst>
            <a:ext uri="{FF2B5EF4-FFF2-40B4-BE49-F238E27FC236}">
              <a16:creationId xmlns:a16="http://schemas.microsoft.com/office/drawing/2014/main" id="{00000000-0008-0000-0800-00005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0" name="Text Box 228">
          <a:extLst>
            <a:ext uri="{FF2B5EF4-FFF2-40B4-BE49-F238E27FC236}">
              <a16:creationId xmlns:a16="http://schemas.microsoft.com/office/drawing/2014/main" id="{00000000-0008-0000-0800-00005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1" name="Text Box 229">
          <a:extLst>
            <a:ext uri="{FF2B5EF4-FFF2-40B4-BE49-F238E27FC236}">
              <a16:creationId xmlns:a16="http://schemas.microsoft.com/office/drawing/2014/main" id="{00000000-0008-0000-0800-00005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2" name="Text Box 230">
          <a:extLst>
            <a:ext uri="{FF2B5EF4-FFF2-40B4-BE49-F238E27FC236}">
              <a16:creationId xmlns:a16="http://schemas.microsoft.com/office/drawing/2014/main" id="{00000000-0008-0000-0800-00005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3" name="Text Box 231">
          <a:extLst>
            <a:ext uri="{FF2B5EF4-FFF2-40B4-BE49-F238E27FC236}">
              <a16:creationId xmlns:a16="http://schemas.microsoft.com/office/drawing/2014/main" id="{00000000-0008-0000-0800-00005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4" name="Text Box 232">
          <a:extLst>
            <a:ext uri="{FF2B5EF4-FFF2-40B4-BE49-F238E27FC236}">
              <a16:creationId xmlns:a16="http://schemas.microsoft.com/office/drawing/2014/main" id="{00000000-0008-0000-0800-00005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5" name="Text Box 233">
          <a:extLst>
            <a:ext uri="{FF2B5EF4-FFF2-40B4-BE49-F238E27FC236}">
              <a16:creationId xmlns:a16="http://schemas.microsoft.com/office/drawing/2014/main" id="{00000000-0008-0000-0800-00005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6" name="Text Box 234">
          <a:extLst>
            <a:ext uri="{FF2B5EF4-FFF2-40B4-BE49-F238E27FC236}">
              <a16:creationId xmlns:a16="http://schemas.microsoft.com/office/drawing/2014/main" id="{00000000-0008-0000-0800-00005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7" name="Text Box 235">
          <a:extLst>
            <a:ext uri="{FF2B5EF4-FFF2-40B4-BE49-F238E27FC236}">
              <a16:creationId xmlns:a16="http://schemas.microsoft.com/office/drawing/2014/main" id="{00000000-0008-0000-0800-00005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8" name="Text Box 236">
          <a:extLst>
            <a:ext uri="{FF2B5EF4-FFF2-40B4-BE49-F238E27FC236}">
              <a16:creationId xmlns:a16="http://schemas.microsoft.com/office/drawing/2014/main" id="{00000000-0008-0000-0800-00005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9" name="Text Box 237">
          <a:extLst>
            <a:ext uri="{FF2B5EF4-FFF2-40B4-BE49-F238E27FC236}">
              <a16:creationId xmlns:a16="http://schemas.microsoft.com/office/drawing/2014/main" id="{00000000-0008-0000-0800-00005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0" name="Text Box 238">
          <a:extLst>
            <a:ext uri="{FF2B5EF4-FFF2-40B4-BE49-F238E27FC236}">
              <a16:creationId xmlns:a16="http://schemas.microsoft.com/office/drawing/2014/main" id="{00000000-0008-0000-0800-00006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1" name="Text Box 239">
          <a:extLst>
            <a:ext uri="{FF2B5EF4-FFF2-40B4-BE49-F238E27FC236}">
              <a16:creationId xmlns:a16="http://schemas.microsoft.com/office/drawing/2014/main" id="{00000000-0008-0000-0800-00006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2" name="Text Box 240">
          <a:extLst>
            <a:ext uri="{FF2B5EF4-FFF2-40B4-BE49-F238E27FC236}">
              <a16:creationId xmlns:a16="http://schemas.microsoft.com/office/drawing/2014/main" id="{00000000-0008-0000-0800-00006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3" name="Text Box 241">
          <a:extLst>
            <a:ext uri="{FF2B5EF4-FFF2-40B4-BE49-F238E27FC236}">
              <a16:creationId xmlns:a16="http://schemas.microsoft.com/office/drawing/2014/main" id="{00000000-0008-0000-0800-00006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4" name="Text Box 242">
          <a:extLst>
            <a:ext uri="{FF2B5EF4-FFF2-40B4-BE49-F238E27FC236}">
              <a16:creationId xmlns:a16="http://schemas.microsoft.com/office/drawing/2014/main" id="{00000000-0008-0000-0800-00006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5" name="Text Box 243">
          <a:extLst>
            <a:ext uri="{FF2B5EF4-FFF2-40B4-BE49-F238E27FC236}">
              <a16:creationId xmlns:a16="http://schemas.microsoft.com/office/drawing/2014/main" id="{00000000-0008-0000-0800-00006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6" name="Text Box 244">
          <a:extLst>
            <a:ext uri="{FF2B5EF4-FFF2-40B4-BE49-F238E27FC236}">
              <a16:creationId xmlns:a16="http://schemas.microsoft.com/office/drawing/2014/main" id="{00000000-0008-0000-0800-00006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7" name="Text Box 245">
          <a:extLst>
            <a:ext uri="{FF2B5EF4-FFF2-40B4-BE49-F238E27FC236}">
              <a16:creationId xmlns:a16="http://schemas.microsoft.com/office/drawing/2014/main" id="{00000000-0008-0000-0800-00006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8" name="Text Box 246">
          <a:extLst>
            <a:ext uri="{FF2B5EF4-FFF2-40B4-BE49-F238E27FC236}">
              <a16:creationId xmlns:a16="http://schemas.microsoft.com/office/drawing/2014/main" id="{00000000-0008-0000-0800-00006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9" name="Text Box 247">
          <a:extLst>
            <a:ext uri="{FF2B5EF4-FFF2-40B4-BE49-F238E27FC236}">
              <a16:creationId xmlns:a16="http://schemas.microsoft.com/office/drawing/2014/main" id="{00000000-0008-0000-0800-00006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0" name="Text Box 248">
          <a:extLst>
            <a:ext uri="{FF2B5EF4-FFF2-40B4-BE49-F238E27FC236}">
              <a16:creationId xmlns:a16="http://schemas.microsoft.com/office/drawing/2014/main" id="{00000000-0008-0000-0800-00006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1" name="Text Box 249">
          <a:extLst>
            <a:ext uri="{FF2B5EF4-FFF2-40B4-BE49-F238E27FC236}">
              <a16:creationId xmlns:a16="http://schemas.microsoft.com/office/drawing/2014/main" id="{00000000-0008-0000-0800-00006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2" name="Text Box 250">
          <a:extLst>
            <a:ext uri="{FF2B5EF4-FFF2-40B4-BE49-F238E27FC236}">
              <a16:creationId xmlns:a16="http://schemas.microsoft.com/office/drawing/2014/main" id="{00000000-0008-0000-0800-00006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3" name="Text Box 251">
          <a:extLst>
            <a:ext uri="{FF2B5EF4-FFF2-40B4-BE49-F238E27FC236}">
              <a16:creationId xmlns:a16="http://schemas.microsoft.com/office/drawing/2014/main" id="{00000000-0008-0000-0800-00006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4" name="Text Box 252">
          <a:extLst>
            <a:ext uri="{FF2B5EF4-FFF2-40B4-BE49-F238E27FC236}">
              <a16:creationId xmlns:a16="http://schemas.microsoft.com/office/drawing/2014/main" id="{00000000-0008-0000-0800-00006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5" name="Text Box 253">
          <a:extLst>
            <a:ext uri="{FF2B5EF4-FFF2-40B4-BE49-F238E27FC236}">
              <a16:creationId xmlns:a16="http://schemas.microsoft.com/office/drawing/2014/main" id="{00000000-0008-0000-0800-00006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6" name="Text Box 254">
          <a:extLst>
            <a:ext uri="{FF2B5EF4-FFF2-40B4-BE49-F238E27FC236}">
              <a16:creationId xmlns:a16="http://schemas.microsoft.com/office/drawing/2014/main" id="{00000000-0008-0000-0800-00007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7" name="Text Box 255">
          <a:extLst>
            <a:ext uri="{FF2B5EF4-FFF2-40B4-BE49-F238E27FC236}">
              <a16:creationId xmlns:a16="http://schemas.microsoft.com/office/drawing/2014/main" id="{00000000-0008-0000-0800-00007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8" name="Text Box 256">
          <a:extLst>
            <a:ext uri="{FF2B5EF4-FFF2-40B4-BE49-F238E27FC236}">
              <a16:creationId xmlns:a16="http://schemas.microsoft.com/office/drawing/2014/main" id="{00000000-0008-0000-0800-00007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9" name="Text Box 257">
          <a:extLst>
            <a:ext uri="{FF2B5EF4-FFF2-40B4-BE49-F238E27FC236}">
              <a16:creationId xmlns:a16="http://schemas.microsoft.com/office/drawing/2014/main" id="{00000000-0008-0000-0800-00007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0" name="Text Box 258">
          <a:extLst>
            <a:ext uri="{FF2B5EF4-FFF2-40B4-BE49-F238E27FC236}">
              <a16:creationId xmlns:a16="http://schemas.microsoft.com/office/drawing/2014/main" id="{00000000-0008-0000-0800-00007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1" name="Text Box 259">
          <a:extLst>
            <a:ext uri="{FF2B5EF4-FFF2-40B4-BE49-F238E27FC236}">
              <a16:creationId xmlns:a16="http://schemas.microsoft.com/office/drawing/2014/main" id="{00000000-0008-0000-0800-00007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2" name="Text Box 260">
          <a:extLst>
            <a:ext uri="{FF2B5EF4-FFF2-40B4-BE49-F238E27FC236}">
              <a16:creationId xmlns:a16="http://schemas.microsoft.com/office/drawing/2014/main" id="{00000000-0008-0000-0800-00007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3" name="Text Box 261">
          <a:extLst>
            <a:ext uri="{FF2B5EF4-FFF2-40B4-BE49-F238E27FC236}">
              <a16:creationId xmlns:a16="http://schemas.microsoft.com/office/drawing/2014/main" id="{00000000-0008-0000-0800-00007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4" name="Text Box 262">
          <a:extLst>
            <a:ext uri="{FF2B5EF4-FFF2-40B4-BE49-F238E27FC236}">
              <a16:creationId xmlns:a16="http://schemas.microsoft.com/office/drawing/2014/main" id="{00000000-0008-0000-0800-00007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5" name="Text Box 263">
          <a:extLst>
            <a:ext uri="{FF2B5EF4-FFF2-40B4-BE49-F238E27FC236}">
              <a16:creationId xmlns:a16="http://schemas.microsoft.com/office/drawing/2014/main" id="{00000000-0008-0000-0800-00007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6" name="Text Box 264">
          <a:extLst>
            <a:ext uri="{FF2B5EF4-FFF2-40B4-BE49-F238E27FC236}">
              <a16:creationId xmlns:a16="http://schemas.microsoft.com/office/drawing/2014/main" id="{00000000-0008-0000-0800-00007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7" name="Text Box 265">
          <a:extLst>
            <a:ext uri="{FF2B5EF4-FFF2-40B4-BE49-F238E27FC236}">
              <a16:creationId xmlns:a16="http://schemas.microsoft.com/office/drawing/2014/main" id="{00000000-0008-0000-0800-00007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8" name="Text Box 266">
          <a:extLst>
            <a:ext uri="{FF2B5EF4-FFF2-40B4-BE49-F238E27FC236}">
              <a16:creationId xmlns:a16="http://schemas.microsoft.com/office/drawing/2014/main" id="{00000000-0008-0000-0800-00007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9" name="Text Box 267">
          <a:extLst>
            <a:ext uri="{FF2B5EF4-FFF2-40B4-BE49-F238E27FC236}">
              <a16:creationId xmlns:a16="http://schemas.microsoft.com/office/drawing/2014/main" id="{00000000-0008-0000-0800-00007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0" name="Text Box 268">
          <a:extLst>
            <a:ext uri="{FF2B5EF4-FFF2-40B4-BE49-F238E27FC236}">
              <a16:creationId xmlns:a16="http://schemas.microsoft.com/office/drawing/2014/main" id="{00000000-0008-0000-0800-00007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1" name="Text Box 269">
          <a:extLst>
            <a:ext uri="{FF2B5EF4-FFF2-40B4-BE49-F238E27FC236}">
              <a16:creationId xmlns:a16="http://schemas.microsoft.com/office/drawing/2014/main" id="{00000000-0008-0000-0800-00007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2" name="Text Box 270">
          <a:extLst>
            <a:ext uri="{FF2B5EF4-FFF2-40B4-BE49-F238E27FC236}">
              <a16:creationId xmlns:a16="http://schemas.microsoft.com/office/drawing/2014/main" id="{00000000-0008-0000-0800-00008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3" name="Text Box 271">
          <a:extLst>
            <a:ext uri="{FF2B5EF4-FFF2-40B4-BE49-F238E27FC236}">
              <a16:creationId xmlns:a16="http://schemas.microsoft.com/office/drawing/2014/main" id="{00000000-0008-0000-0800-00008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4" name="Text Box 272">
          <a:extLst>
            <a:ext uri="{FF2B5EF4-FFF2-40B4-BE49-F238E27FC236}">
              <a16:creationId xmlns:a16="http://schemas.microsoft.com/office/drawing/2014/main" id="{00000000-0008-0000-0800-00008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5" name="Text Box 273">
          <a:extLst>
            <a:ext uri="{FF2B5EF4-FFF2-40B4-BE49-F238E27FC236}">
              <a16:creationId xmlns:a16="http://schemas.microsoft.com/office/drawing/2014/main" id="{00000000-0008-0000-0800-00008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6" name="Text Box 274">
          <a:extLst>
            <a:ext uri="{FF2B5EF4-FFF2-40B4-BE49-F238E27FC236}">
              <a16:creationId xmlns:a16="http://schemas.microsoft.com/office/drawing/2014/main" id="{00000000-0008-0000-0800-00008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7" name="Text Box 275">
          <a:extLst>
            <a:ext uri="{FF2B5EF4-FFF2-40B4-BE49-F238E27FC236}">
              <a16:creationId xmlns:a16="http://schemas.microsoft.com/office/drawing/2014/main" id="{00000000-0008-0000-0800-00008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8" name="Text Box 276">
          <a:extLst>
            <a:ext uri="{FF2B5EF4-FFF2-40B4-BE49-F238E27FC236}">
              <a16:creationId xmlns:a16="http://schemas.microsoft.com/office/drawing/2014/main" id="{00000000-0008-0000-0800-00008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9" name="Text Box 277">
          <a:extLst>
            <a:ext uri="{FF2B5EF4-FFF2-40B4-BE49-F238E27FC236}">
              <a16:creationId xmlns:a16="http://schemas.microsoft.com/office/drawing/2014/main" id="{00000000-0008-0000-0800-00008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0" name="Text Box 278">
          <a:extLst>
            <a:ext uri="{FF2B5EF4-FFF2-40B4-BE49-F238E27FC236}">
              <a16:creationId xmlns:a16="http://schemas.microsoft.com/office/drawing/2014/main" id="{00000000-0008-0000-0800-00008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1" name="Text Box 279">
          <a:extLst>
            <a:ext uri="{FF2B5EF4-FFF2-40B4-BE49-F238E27FC236}">
              <a16:creationId xmlns:a16="http://schemas.microsoft.com/office/drawing/2014/main" id="{00000000-0008-0000-0800-00008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2" name="Text Box 280">
          <a:extLst>
            <a:ext uri="{FF2B5EF4-FFF2-40B4-BE49-F238E27FC236}">
              <a16:creationId xmlns:a16="http://schemas.microsoft.com/office/drawing/2014/main" id="{00000000-0008-0000-0800-00008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3" name="Text Box 281">
          <a:extLst>
            <a:ext uri="{FF2B5EF4-FFF2-40B4-BE49-F238E27FC236}">
              <a16:creationId xmlns:a16="http://schemas.microsoft.com/office/drawing/2014/main" id="{00000000-0008-0000-0800-00008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4" name="Text Box 282">
          <a:extLst>
            <a:ext uri="{FF2B5EF4-FFF2-40B4-BE49-F238E27FC236}">
              <a16:creationId xmlns:a16="http://schemas.microsoft.com/office/drawing/2014/main" id="{00000000-0008-0000-0800-00008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5" name="Text Box 283">
          <a:extLst>
            <a:ext uri="{FF2B5EF4-FFF2-40B4-BE49-F238E27FC236}">
              <a16:creationId xmlns:a16="http://schemas.microsoft.com/office/drawing/2014/main" id="{00000000-0008-0000-0800-00008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6" name="Text Box 284">
          <a:extLst>
            <a:ext uri="{FF2B5EF4-FFF2-40B4-BE49-F238E27FC236}">
              <a16:creationId xmlns:a16="http://schemas.microsoft.com/office/drawing/2014/main" id="{00000000-0008-0000-0800-00008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7" name="Text Box 285">
          <a:extLst>
            <a:ext uri="{FF2B5EF4-FFF2-40B4-BE49-F238E27FC236}">
              <a16:creationId xmlns:a16="http://schemas.microsoft.com/office/drawing/2014/main" id="{00000000-0008-0000-0800-00008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8" name="Text Box 286">
          <a:extLst>
            <a:ext uri="{FF2B5EF4-FFF2-40B4-BE49-F238E27FC236}">
              <a16:creationId xmlns:a16="http://schemas.microsoft.com/office/drawing/2014/main" id="{00000000-0008-0000-0800-00009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9" name="Text Box 287">
          <a:extLst>
            <a:ext uri="{FF2B5EF4-FFF2-40B4-BE49-F238E27FC236}">
              <a16:creationId xmlns:a16="http://schemas.microsoft.com/office/drawing/2014/main" id="{00000000-0008-0000-0800-00009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0" name="Text Box 288">
          <a:extLst>
            <a:ext uri="{FF2B5EF4-FFF2-40B4-BE49-F238E27FC236}">
              <a16:creationId xmlns:a16="http://schemas.microsoft.com/office/drawing/2014/main" id="{00000000-0008-0000-0800-00009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1" name="Text Box 289">
          <a:extLst>
            <a:ext uri="{FF2B5EF4-FFF2-40B4-BE49-F238E27FC236}">
              <a16:creationId xmlns:a16="http://schemas.microsoft.com/office/drawing/2014/main" id="{00000000-0008-0000-0800-00009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2" name="Text Box 290">
          <a:extLst>
            <a:ext uri="{FF2B5EF4-FFF2-40B4-BE49-F238E27FC236}">
              <a16:creationId xmlns:a16="http://schemas.microsoft.com/office/drawing/2014/main" id="{00000000-0008-0000-0800-00009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3" name="Text Box 291">
          <a:extLst>
            <a:ext uri="{FF2B5EF4-FFF2-40B4-BE49-F238E27FC236}">
              <a16:creationId xmlns:a16="http://schemas.microsoft.com/office/drawing/2014/main" id="{00000000-0008-0000-0800-00009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4" name="Text Box 292">
          <a:extLst>
            <a:ext uri="{FF2B5EF4-FFF2-40B4-BE49-F238E27FC236}">
              <a16:creationId xmlns:a16="http://schemas.microsoft.com/office/drawing/2014/main" id="{00000000-0008-0000-0800-00009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5" name="Text Box 293">
          <a:extLst>
            <a:ext uri="{FF2B5EF4-FFF2-40B4-BE49-F238E27FC236}">
              <a16:creationId xmlns:a16="http://schemas.microsoft.com/office/drawing/2014/main" id="{00000000-0008-0000-0800-00009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6" name="Text Box 294">
          <a:extLst>
            <a:ext uri="{FF2B5EF4-FFF2-40B4-BE49-F238E27FC236}">
              <a16:creationId xmlns:a16="http://schemas.microsoft.com/office/drawing/2014/main" id="{00000000-0008-0000-0800-00009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7" name="Text Box 295">
          <a:extLst>
            <a:ext uri="{FF2B5EF4-FFF2-40B4-BE49-F238E27FC236}">
              <a16:creationId xmlns:a16="http://schemas.microsoft.com/office/drawing/2014/main" id="{00000000-0008-0000-0800-00009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8" name="Text Box 296">
          <a:extLst>
            <a:ext uri="{FF2B5EF4-FFF2-40B4-BE49-F238E27FC236}">
              <a16:creationId xmlns:a16="http://schemas.microsoft.com/office/drawing/2014/main" id="{00000000-0008-0000-0800-00009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79" name="Text Box 297">
          <a:extLst>
            <a:ext uri="{FF2B5EF4-FFF2-40B4-BE49-F238E27FC236}">
              <a16:creationId xmlns:a16="http://schemas.microsoft.com/office/drawing/2014/main" id="{00000000-0008-0000-0800-00009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0" name="Text Box 298">
          <a:extLst>
            <a:ext uri="{FF2B5EF4-FFF2-40B4-BE49-F238E27FC236}">
              <a16:creationId xmlns:a16="http://schemas.microsoft.com/office/drawing/2014/main" id="{00000000-0008-0000-0800-00009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1" name="Text Box 299">
          <a:extLst>
            <a:ext uri="{FF2B5EF4-FFF2-40B4-BE49-F238E27FC236}">
              <a16:creationId xmlns:a16="http://schemas.microsoft.com/office/drawing/2014/main" id="{00000000-0008-0000-0800-00009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2" name="Text Box 300">
          <a:extLst>
            <a:ext uri="{FF2B5EF4-FFF2-40B4-BE49-F238E27FC236}">
              <a16:creationId xmlns:a16="http://schemas.microsoft.com/office/drawing/2014/main" id="{00000000-0008-0000-0800-00009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3" name="Text Box 301">
          <a:extLst>
            <a:ext uri="{FF2B5EF4-FFF2-40B4-BE49-F238E27FC236}">
              <a16:creationId xmlns:a16="http://schemas.microsoft.com/office/drawing/2014/main" id="{00000000-0008-0000-0800-00009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4" name="Text Box 302">
          <a:extLst>
            <a:ext uri="{FF2B5EF4-FFF2-40B4-BE49-F238E27FC236}">
              <a16:creationId xmlns:a16="http://schemas.microsoft.com/office/drawing/2014/main" id="{00000000-0008-0000-0800-0000A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5" name="Text Box 303">
          <a:extLst>
            <a:ext uri="{FF2B5EF4-FFF2-40B4-BE49-F238E27FC236}">
              <a16:creationId xmlns:a16="http://schemas.microsoft.com/office/drawing/2014/main" id="{00000000-0008-0000-0800-0000A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6" name="Text Box 304">
          <a:extLst>
            <a:ext uri="{FF2B5EF4-FFF2-40B4-BE49-F238E27FC236}">
              <a16:creationId xmlns:a16="http://schemas.microsoft.com/office/drawing/2014/main" id="{00000000-0008-0000-0800-0000A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7" name="Text Box 305">
          <a:extLst>
            <a:ext uri="{FF2B5EF4-FFF2-40B4-BE49-F238E27FC236}">
              <a16:creationId xmlns:a16="http://schemas.microsoft.com/office/drawing/2014/main" id="{00000000-0008-0000-0800-0000A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8" name="Text Box 306">
          <a:extLst>
            <a:ext uri="{FF2B5EF4-FFF2-40B4-BE49-F238E27FC236}">
              <a16:creationId xmlns:a16="http://schemas.microsoft.com/office/drawing/2014/main" id="{00000000-0008-0000-0800-0000A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9" name="Text Box 307">
          <a:extLst>
            <a:ext uri="{FF2B5EF4-FFF2-40B4-BE49-F238E27FC236}">
              <a16:creationId xmlns:a16="http://schemas.microsoft.com/office/drawing/2014/main" id="{00000000-0008-0000-0800-0000A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0" name="Text Box 308">
          <a:extLst>
            <a:ext uri="{FF2B5EF4-FFF2-40B4-BE49-F238E27FC236}">
              <a16:creationId xmlns:a16="http://schemas.microsoft.com/office/drawing/2014/main" id="{00000000-0008-0000-0800-0000A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1" name="Text Box 309">
          <a:extLst>
            <a:ext uri="{FF2B5EF4-FFF2-40B4-BE49-F238E27FC236}">
              <a16:creationId xmlns:a16="http://schemas.microsoft.com/office/drawing/2014/main" id="{00000000-0008-0000-0800-0000A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2" name="Text Box 310">
          <a:extLst>
            <a:ext uri="{FF2B5EF4-FFF2-40B4-BE49-F238E27FC236}">
              <a16:creationId xmlns:a16="http://schemas.microsoft.com/office/drawing/2014/main" id="{00000000-0008-0000-0800-0000A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3" name="Text Box 311">
          <a:extLst>
            <a:ext uri="{FF2B5EF4-FFF2-40B4-BE49-F238E27FC236}">
              <a16:creationId xmlns:a16="http://schemas.microsoft.com/office/drawing/2014/main" id="{00000000-0008-0000-0800-0000A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4" name="Text Box 312">
          <a:extLst>
            <a:ext uri="{FF2B5EF4-FFF2-40B4-BE49-F238E27FC236}">
              <a16:creationId xmlns:a16="http://schemas.microsoft.com/office/drawing/2014/main" id="{00000000-0008-0000-0800-0000A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5" name="Text Box 313">
          <a:extLst>
            <a:ext uri="{FF2B5EF4-FFF2-40B4-BE49-F238E27FC236}">
              <a16:creationId xmlns:a16="http://schemas.microsoft.com/office/drawing/2014/main" id="{00000000-0008-0000-0800-0000A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6" name="Text Box 314">
          <a:extLst>
            <a:ext uri="{FF2B5EF4-FFF2-40B4-BE49-F238E27FC236}">
              <a16:creationId xmlns:a16="http://schemas.microsoft.com/office/drawing/2014/main" id="{00000000-0008-0000-0800-0000A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7" name="Text Box 315">
          <a:extLst>
            <a:ext uri="{FF2B5EF4-FFF2-40B4-BE49-F238E27FC236}">
              <a16:creationId xmlns:a16="http://schemas.microsoft.com/office/drawing/2014/main" id="{00000000-0008-0000-0800-0000A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8" name="Text Box 316">
          <a:extLst>
            <a:ext uri="{FF2B5EF4-FFF2-40B4-BE49-F238E27FC236}">
              <a16:creationId xmlns:a16="http://schemas.microsoft.com/office/drawing/2014/main" id="{00000000-0008-0000-0800-0000A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9" name="Text Box 317">
          <a:extLst>
            <a:ext uri="{FF2B5EF4-FFF2-40B4-BE49-F238E27FC236}">
              <a16:creationId xmlns:a16="http://schemas.microsoft.com/office/drawing/2014/main" id="{00000000-0008-0000-0800-0000A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0" name="Text Box 318">
          <a:extLst>
            <a:ext uri="{FF2B5EF4-FFF2-40B4-BE49-F238E27FC236}">
              <a16:creationId xmlns:a16="http://schemas.microsoft.com/office/drawing/2014/main" id="{00000000-0008-0000-0800-0000B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1" name="Text Box 319">
          <a:extLst>
            <a:ext uri="{FF2B5EF4-FFF2-40B4-BE49-F238E27FC236}">
              <a16:creationId xmlns:a16="http://schemas.microsoft.com/office/drawing/2014/main" id="{00000000-0008-0000-0800-0000B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2" name="Text Box 320">
          <a:extLst>
            <a:ext uri="{FF2B5EF4-FFF2-40B4-BE49-F238E27FC236}">
              <a16:creationId xmlns:a16="http://schemas.microsoft.com/office/drawing/2014/main" id="{00000000-0008-0000-0800-0000B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3" name="Text Box 28">
          <a:extLst>
            <a:ext uri="{FF2B5EF4-FFF2-40B4-BE49-F238E27FC236}">
              <a16:creationId xmlns:a16="http://schemas.microsoft.com/office/drawing/2014/main" id="{00000000-0008-0000-0800-0000B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4" name="Text Box 29">
          <a:extLst>
            <a:ext uri="{FF2B5EF4-FFF2-40B4-BE49-F238E27FC236}">
              <a16:creationId xmlns:a16="http://schemas.microsoft.com/office/drawing/2014/main" id="{00000000-0008-0000-0800-0000B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5" name="Text Box 30">
          <a:extLst>
            <a:ext uri="{FF2B5EF4-FFF2-40B4-BE49-F238E27FC236}">
              <a16:creationId xmlns:a16="http://schemas.microsoft.com/office/drawing/2014/main" id="{00000000-0008-0000-0800-0000B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6" name="Text Box 31">
          <a:extLst>
            <a:ext uri="{FF2B5EF4-FFF2-40B4-BE49-F238E27FC236}">
              <a16:creationId xmlns:a16="http://schemas.microsoft.com/office/drawing/2014/main" id="{00000000-0008-0000-0800-0000B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7" name="Text Box 32">
          <a:extLst>
            <a:ext uri="{FF2B5EF4-FFF2-40B4-BE49-F238E27FC236}">
              <a16:creationId xmlns:a16="http://schemas.microsoft.com/office/drawing/2014/main" id="{00000000-0008-0000-0800-0000B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8" name="Text Box 33">
          <a:extLst>
            <a:ext uri="{FF2B5EF4-FFF2-40B4-BE49-F238E27FC236}">
              <a16:creationId xmlns:a16="http://schemas.microsoft.com/office/drawing/2014/main" id="{00000000-0008-0000-0800-0000B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9" name="Text Box 34">
          <a:extLst>
            <a:ext uri="{FF2B5EF4-FFF2-40B4-BE49-F238E27FC236}">
              <a16:creationId xmlns:a16="http://schemas.microsoft.com/office/drawing/2014/main" id="{00000000-0008-0000-0800-0000B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0" name="Text Box 35">
          <a:extLst>
            <a:ext uri="{FF2B5EF4-FFF2-40B4-BE49-F238E27FC236}">
              <a16:creationId xmlns:a16="http://schemas.microsoft.com/office/drawing/2014/main" id="{00000000-0008-0000-0800-0000B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1" name="Text Box 36">
          <a:extLst>
            <a:ext uri="{FF2B5EF4-FFF2-40B4-BE49-F238E27FC236}">
              <a16:creationId xmlns:a16="http://schemas.microsoft.com/office/drawing/2014/main" id="{00000000-0008-0000-0800-0000B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2" name="Text Box 37">
          <a:extLst>
            <a:ext uri="{FF2B5EF4-FFF2-40B4-BE49-F238E27FC236}">
              <a16:creationId xmlns:a16="http://schemas.microsoft.com/office/drawing/2014/main" id="{00000000-0008-0000-0800-0000B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3" name="Text Box 38">
          <a:extLst>
            <a:ext uri="{FF2B5EF4-FFF2-40B4-BE49-F238E27FC236}">
              <a16:creationId xmlns:a16="http://schemas.microsoft.com/office/drawing/2014/main" id="{00000000-0008-0000-0800-0000B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4" name="Text Box 39">
          <a:extLst>
            <a:ext uri="{FF2B5EF4-FFF2-40B4-BE49-F238E27FC236}">
              <a16:creationId xmlns:a16="http://schemas.microsoft.com/office/drawing/2014/main" id="{00000000-0008-0000-0800-0000B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5" name="Text Box 40">
          <a:extLst>
            <a:ext uri="{FF2B5EF4-FFF2-40B4-BE49-F238E27FC236}">
              <a16:creationId xmlns:a16="http://schemas.microsoft.com/office/drawing/2014/main" id="{00000000-0008-0000-0800-0000B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6" name="Text Box 41">
          <a:extLst>
            <a:ext uri="{FF2B5EF4-FFF2-40B4-BE49-F238E27FC236}">
              <a16:creationId xmlns:a16="http://schemas.microsoft.com/office/drawing/2014/main" id="{00000000-0008-0000-0800-0000C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7" name="Text Box 42">
          <a:extLst>
            <a:ext uri="{FF2B5EF4-FFF2-40B4-BE49-F238E27FC236}">
              <a16:creationId xmlns:a16="http://schemas.microsoft.com/office/drawing/2014/main" id="{00000000-0008-0000-0800-0000C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8" name="Text Box 43">
          <a:extLst>
            <a:ext uri="{FF2B5EF4-FFF2-40B4-BE49-F238E27FC236}">
              <a16:creationId xmlns:a16="http://schemas.microsoft.com/office/drawing/2014/main" id="{00000000-0008-0000-0800-0000C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9" name="Text Box 44">
          <a:extLst>
            <a:ext uri="{FF2B5EF4-FFF2-40B4-BE49-F238E27FC236}">
              <a16:creationId xmlns:a16="http://schemas.microsoft.com/office/drawing/2014/main" id="{00000000-0008-0000-0800-0000C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0" name="Text Box 45">
          <a:extLst>
            <a:ext uri="{FF2B5EF4-FFF2-40B4-BE49-F238E27FC236}">
              <a16:creationId xmlns:a16="http://schemas.microsoft.com/office/drawing/2014/main" id="{00000000-0008-0000-0800-0000C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1" name="Text Box 46">
          <a:extLst>
            <a:ext uri="{FF2B5EF4-FFF2-40B4-BE49-F238E27FC236}">
              <a16:creationId xmlns:a16="http://schemas.microsoft.com/office/drawing/2014/main" id="{00000000-0008-0000-0800-0000C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2" name="Text Box 47">
          <a:extLst>
            <a:ext uri="{FF2B5EF4-FFF2-40B4-BE49-F238E27FC236}">
              <a16:creationId xmlns:a16="http://schemas.microsoft.com/office/drawing/2014/main" id="{00000000-0008-0000-0800-0000C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3" name="Text Box 48">
          <a:extLst>
            <a:ext uri="{FF2B5EF4-FFF2-40B4-BE49-F238E27FC236}">
              <a16:creationId xmlns:a16="http://schemas.microsoft.com/office/drawing/2014/main" id="{00000000-0008-0000-0800-0000C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4" name="Text Box 49">
          <a:extLst>
            <a:ext uri="{FF2B5EF4-FFF2-40B4-BE49-F238E27FC236}">
              <a16:creationId xmlns:a16="http://schemas.microsoft.com/office/drawing/2014/main" id="{00000000-0008-0000-0800-0000C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5" name="Text Box 50">
          <a:extLst>
            <a:ext uri="{FF2B5EF4-FFF2-40B4-BE49-F238E27FC236}">
              <a16:creationId xmlns:a16="http://schemas.microsoft.com/office/drawing/2014/main" id="{00000000-0008-0000-0800-0000C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6" name="Text Box 51">
          <a:extLst>
            <a:ext uri="{FF2B5EF4-FFF2-40B4-BE49-F238E27FC236}">
              <a16:creationId xmlns:a16="http://schemas.microsoft.com/office/drawing/2014/main" id="{00000000-0008-0000-0800-0000C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7" name="Text Box 52">
          <a:extLst>
            <a:ext uri="{FF2B5EF4-FFF2-40B4-BE49-F238E27FC236}">
              <a16:creationId xmlns:a16="http://schemas.microsoft.com/office/drawing/2014/main" id="{00000000-0008-0000-0800-0000C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8" name="Text Box 53">
          <a:extLst>
            <a:ext uri="{FF2B5EF4-FFF2-40B4-BE49-F238E27FC236}">
              <a16:creationId xmlns:a16="http://schemas.microsoft.com/office/drawing/2014/main" id="{00000000-0008-0000-0800-0000C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9" name="Text Box 54">
          <a:extLst>
            <a:ext uri="{FF2B5EF4-FFF2-40B4-BE49-F238E27FC236}">
              <a16:creationId xmlns:a16="http://schemas.microsoft.com/office/drawing/2014/main" id="{00000000-0008-0000-0800-0000C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0" name="Text Box 55">
          <a:extLst>
            <a:ext uri="{FF2B5EF4-FFF2-40B4-BE49-F238E27FC236}">
              <a16:creationId xmlns:a16="http://schemas.microsoft.com/office/drawing/2014/main" id="{00000000-0008-0000-0800-0000C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1" name="Text Box 56">
          <a:extLst>
            <a:ext uri="{FF2B5EF4-FFF2-40B4-BE49-F238E27FC236}">
              <a16:creationId xmlns:a16="http://schemas.microsoft.com/office/drawing/2014/main" id="{00000000-0008-0000-0800-0000C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2" name="Text Box 57">
          <a:extLst>
            <a:ext uri="{FF2B5EF4-FFF2-40B4-BE49-F238E27FC236}">
              <a16:creationId xmlns:a16="http://schemas.microsoft.com/office/drawing/2014/main" id="{00000000-0008-0000-0800-0000D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3" name="Text Box 58">
          <a:extLst>
            <a:ext uri="{FF2B5EF4-FFF2-40B4-BE49-F238E27FC236}">
              <a16:creationId xmlns:a16="http://schemas.microsoft.com/office/drawing/2014/main" id="{00000000-0008-0000-0800-0000D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4" name="Text Box 59">
          <a:extLst>
            <a:ext uri="{FF2B5EF4-FFF2-40B4-BE49-F238E27FC236}">
              <a16:creationId xmlns:a16="http://schemas.microsoft.com/office/drawing/2014/main" id="{00000000-0008-0000-0800-0000D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5" name="Text Box 60">
          <a:extLst>
            <a:ext uri="{FF2B5EF4-FFF2-40B4-BE49-F238E27FC236}">
              <a16:creationId xmlns:a16="http://schemas.microsoft.com/office/drawing/2014/main" id="{00000000-0008-0000-0800-0000D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6" name="Text Box 61">
          <a:extLst>
            <a:ext uri="{FF2B5EF4-FFF2-40B4-BE49-F238E27FC236}">
              <a16:creationId xmlns:a16="http://schemas.microsoft.com/office/drawing/2014/main" id="{00000000-0008-0000-0800-0000D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7" name="Text Box 62">
          <a:extLst>
            <a:ext uri="{FF2B5EF4-FFF2-40B4-BE49-F238E27FC236}">
              <a16:creationId xmlns:a16="http://schemas.microsoft.com/office/drawing/2014/main" id="{00000000-0008-0000-0800-0000D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8" name="Text Box 63">
          <a:extLst>
            <a:ext uri="{FF2B5EF4-FFF2-40B4-BE49-F238E27FC236}">
              <a16:creationId xmlns:a16="http://schemas.microsoft.com/office/drawing/2014/main" id="{00000000-0008-0000-0800-0000D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9" name="Text Box 64">
          <a:extLst>
            <a:ext uri="{FF2B5EF4-FFF2-40B4-BE49-F238E27FC236}">
              <a16:creationId xmlns:a16="http://schemas.microsoft.com/office/drawing/2014/main" id="{00000000-0008-0000-0800-0000D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0" name="Text Box 65">
          <a:extLst>
            <a:ext uri="{FF2B5EF4-FFF2-40B4-BE49-F238E27FC236}">
              <a16:creationId xmlns:a16="http://schemas.microsoft.com/office/drawing/2014/main" id="{00000000-0008-0000-0800-0000D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1" name="Text Box 66">
          <a:extLst>
            <a:ext uri="{FF2B5EF4-FFF2-40B4-BE49-F238E27FC236}">
              <a16:creationId xmlns:a16="http://schemas.microsoft.com/office/drawing/2014/main" id="{00000000-0008-0000-0800-0000D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2" name="Text Box 67">
          <a:extLst>
            <a:ext uri="{FF2B5EF4-FFF2-40B4-BE49-F238E27FC236}">
              <a16:creationId xmlns:a16="http://schemas.microsoft.com/office/drawing/2014/main" id="{00000000-0008-0000-0800-0000D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3" name="Text Box 68">
          <a:extLst>
            <a:ext uri="{FF2B5EF4-FFF2-40B4-BE49-F238E27FC236}">
              <a16:creationId xmlns:a16="http://schemas.microsoft.com/office/drawing/2014/main" id="{00000000-0008-0000-0800-0000D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4" name="Text Box 69">
          <a:extLst>
            <a:ext uri="{FF2B5EF4-FFF2-40B4-BE49-F238E27FC236}">
              <a16:creationId xmlns:a16="http://schemas.microsoft.com/office/drawing/2014/main" id="{00000000-0008-0000-0800-0000D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5" name="Text Box 70">
          <a:extLst>
            <a:ext uri="{FF2B5EF4-FFF2-40B4-BE49-F238E27FC236}">
              <a16:creationId xmlns:a16="http://schemas.microsoft.com/office/drawing/2014/main" id="{00000000-0008-0000-0800-0000D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6" name="Text Box 71">
          <a:extLst>
            <a:ext uri="{FF2B5EF4-FFF2-40B4-BE49-F238E27FC236}">
              <a16:creationId xmlns:a16="http://schemas.microsoft.com/office/drawing/2014/main" id="{00000000-0008-0000-0800-0000D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7" name="Text Box 72">
          <a:extLst>
            <a:ext uri="{FF2B5EF4-FFF2-40B4-BE49-F238E27FC236}">
              <a16:creationId xmlns:a16="http://schemas.microsoft.com/office/drawing/2014/main" id="{00000000-0008-0000-0800-0000D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8" name="Text Box 73">
          <a:extLst>
            <a:ext uri="{FF2B5EF4-FFF2-40B4-BE49-F238E27FC236}">
              <a16:creationId xmlns:a16="http://schemas.microsoft.com/office/drawing/2014/main" id="{00000000-0008-0000-0800-0000E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9" name="Text Box 74">
          <a:extLst>
            <a:ext uri="{FF2B5EF4-FFF2-40B4-BE49-F238E27FC236}">
              <a16:creationId xmlns:a16="http://schemas.microsoft.com/office/drawing/2014/main" id="{00000000-0008-0000-0800-0000E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0" name="Text Box 75">
          <a:extLst>
            <a:ext uri="{FF2B5EF4-FFF2-40B4-BE49-F238E27FC236}">
              <a16:creationId xmlns:a16="http://schemas.microsoft.com/office/drawing/2014/main" id="{00000000-0008-0000-0800-0000E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1" name="Text Box 76">
          <a:extLst>
            <a:ext uri="{FF2B5EF4-FFF2-40B4-BE49-F238E27FC236}">
              <a16:creationId xmlns:a16="http://schemas.microsoft.com/office/drawing/2014/main" id="{00000000-0008-0000-0800-0000E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2" name="Text Box 77">
          <a:extLst>
            <a:ext uri="{FF2B5EF4-FFF2-40B4-BE49-F238E27FC236}">
              <a16:creationId xmlns:a16="http://schemas.microsoft.com/office/drawing/2014/main" id="{00000000-0008-0000-0800-0000E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3" name="Text Box 78">
          <a:extLst>
            <a:ext uri="{FF2B5EF4-FFF2-40B4-BE49-F238E27FC236}">
              <a16:creationId xmlns:a16="http://schemas.microsoft.com/office/drawing/2014/main" id="{00000000-0008-0000-0800-0000E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4" name="Text Box 79">
          <a:extLst>
            <a:ext uri="{FF2B5EF4-FFF2-40B4-BE49-F238E27FC236}">
              <a16:creationId xmlns:a16="http://schemas.microsoft.com/office/drawing/2014/main" id="{00000000-0008-0000-0800-0000E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5" name="Text Box 80">
          <a:extLst>
            <a:ext uri="{FF2B5EF4-FFF2-40B4-BE49-F238E27FC236}">
              <a16:creationId xmlns:a16="http://schemas.microsoft.com/office/drawing/2014/main" id="{00000000-0008-0000-0800-0000E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6" name="Text Box 81">
          <a:extLst>
            <a:ext uri="{FF2B5EF4-FFF2-40B4-BE49-F238E27FC236}">
              <a16:creationId xmlns:a16="http://schemas.microsoft.com/office/drawing/2014/main" id="{00000000-0008-0000-0800-0000E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7" name="Text Box 82">
          <a:extLst>
            <a:ext uri="{FF2B5EF4-FFF2-40B4-BE49-F238E27FC236}">
              <a16:creationId xmlns:a16="http://schemas.microsoft.com/office/drawing/2014/main" id="{00000000-0008-0000-0800-0000E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8" name="Text Box 83">
          <a:extLst>
            <a:ext uri="{FF2B5EF4-FFF2-40B4-BE49-F238E27FC236}">
              <a16:creationId xmlns:a16="http://schemas.microsoft.com/office/drawing/2014/main" id="{00000000-0008-0000-0800-0000E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9" name="Text Box 84">
          <a:extLst>
            <a:ext uri="{FF2B5EF4-FFF2-40B4-BE49-F238E27FC236}">
              <a16:creationId xmlns:a16="http://schemas.microsoft.com/office/drawing/2014/main" id="{00000000-0008-0000-0800-0000E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0" name="Text Box 85">
          <a:extLst>
            <a:ext uri="{FF2B5EF4-FFF2-40B4-BE49-F238E27FC236}">
              <a16:creationId xmlns:a16="http://schemas.microsoft.com/office/drawing/2014/main" id="{00000000-0008-0000-0800-0000E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1" name="Text Box 86">
          <a:extLst>
            <a:ext uri="{FF2B5EF4-FFF2-40B4-BE49-F238E27FC236}">
              <a16:creationId xmlns:a16="http://schemas.microsoft.com/office/drawing/2014/main" id="{00000000-0008-0000-0800-0000E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2" name="Text Box 87">
          <a:extLst>
            <a:ext uri="{FF2B5EF4-FFF2-40B4-BE49-F238E27FC236}">
              <a16:creationId xmlns:a16="http://schemas.microsoft.com/office/drawing/2014/main" id="{00000000-0008-0000-0800-0000E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3" name="Text Box 88">
          <a:extLst>
            <a:ext uri="{FF2B5EF4-FFF2-40B4-BE49-F238E27FC236}">
              <a16:creationId xmlns:a16="http://schemas.microsoft.com/office/drawing/2014/main" id="{00000000-0008-0000-0800-0000E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4" name="Text Box 89">
          <a:extLst>
            <a:ext uri="{FF2B5EF4-FFF2-40B4-BE49-F238E27FC236}">
              <a16:creationId xmlns:a16="http://schemas.microsoft.com/office/drawing/2014/main" id="{00000000-0008-0000-0800-0000F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5" name="Text Box 90">
          <a:extLst>
            <a:ext uri="{FF2B5EF4-FFF2-40B4-BE49-F238E27FC236}">
              <a16:creationId xmlns:a16="http://schemas.microsoft.com/office/drawing/2014/main" id="{00000000-0008-0000-0800-0000F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6" name="Text Box 91">
          <a:extLst>
            <a:ext uri="{FF2B5EF4-FFF2-40B4-BE49-F238E27FC236}">
              <a16:creationId xmlns:a16="http://schemas.microsoft.com/office/drawing/2014/main" id="{00000000-0008-0000-0800-0000F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7" name="Text Box 92">
          <a:extLst>
            <a:ext uri="{FF2B5EF4-FFF2-40B4-BE49-F238E27FC236}">
              <a16:creationId xmlns:a16="http://schemas.microsoft.com/office/drawing/2014/main" id="{00000000-0008-0000-0800-0000F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8" name="Text Box 93">
          <a:extLst>
            <a:ext uri="{FF2B5EF4-FFF2-40B4-BE49-F238E27FC236}">
              <a16:creationId xmlns:a16="http://schemas.microsoft.com/office/drawing/2014/main" id="{00000000-0008-0000-0800-0000F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9" name="Text Box 94">
          <a:extLst>
            <a:ext uri="{FF2B5EF4-FFF2-40B4-BE49-F238E27FC236}">
              <a16:creationId xmlns:a16="http://schemas.microsoft.com/office/drawing/2014/main" id="{00000000-0008-0000-0800-0000F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0" name="Text Box 95">
          <a:extLst>
            <a:ext uri="{FF2B5EF4-FFF2-40B4-BE49-F238E27FC236}">
              <a16:creationId xmlns:a16="http://schemas.microsoft.com/office/drawing/2014/main" id="{00000000-0008-0000-0800-0000F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1" name="Text Box 96">
          <a:extLst>
            <a:ext uri="{FF2B5EF4-FFF2-40B4-BE49-F238E27FC236}">
              <a16:creationId xmlns:a16="http://schemas.microsoft.com/office/drawing/2014/main" id="{00000000-0008-0000-0800-0000F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2" name="Text Box 97">
          <a:extLst>
            <a:ext uri="{FF2B5EF4-FFF2-40B4-BE49-F238E27FC236}">
              <a16:creationId xmlns:a16="http://schemas.microsoft.com/office/drawing/2014/main" id="{00000000-0008-0000-0800-0000F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3" name="Text Box 100">
          <a:extLst>
            <a:ext uri="{FF2B5EF4-FFF2-40B4-BE49-F238E27FC236}">
              <a16:creationId xmlns:a16="http://schemas.microsoft.com/office/drawing/2014/main" id="{00000000-0008-0000-0800-0000F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4" name="Text Box 101">
          <a:extLst>
            <a:ext uri="{FF2B5EF4-FFF2-40B4-BE49-F238E27FC236}">
              <a16:creationId xmlns:a16="http://schemas.microsoft.com/office/drawing/2014/main" id="{00000000-0008-0000-0800-0000F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5" name="Text Box 102">
          <a:extLst>
            <a:ext uri="{FF2B5EF4-FFF2-40B4-BE49-F238E27FC236}">
              <a16:creationId xmlns:a16="http://schemas.microsoft.com/office/drawing/2014/main" id="{00000000-0008-0000-0800-0000F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6" name="Text Box 103">
          <a:extLst>
            <a:ext uri="{FF2B5EF4-FFF2-40B4-BE49-F238E27FC236}">
              <a16:creationId xmlns:a16="http://schemas.microsoft.com/office/drawing/2014/main" id="{00000000-0008-0000-0800-0000F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7" name="Text Box 104">
          <a:extLst>
            <a:ext uri="{FF2B5EF4-FFF2-40B4-BE49-F238E27FC236}">
              <a16:creationId xmlns:a16="http://schemas.microsoft.com/office/drawing/2014/main" id="{00000000-0008-0000-0800-0000F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8" name="Text Box 105">
          <a:extLst>
            <a:ext uri="{FF2B5EF4-FFF2-40B4-BE49-F238E27FC236}">
              <a16:creationId xmlns:a16="http://schemas.microsoft.com/office/drawing/2014/main" id="{00000000-0008-0000-0800-0000F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9" name="Text Box 106">
          <a:extLst>
            <a:ext uri="{FF2B5EF4-FFF2-40B4-BE49-F238E27FC236}">
              <a16:creationId xmlns:a16="http://schemas.microsoft.com/office/drawing/2014/main" id="{00000000-0008-0000-0800-0000F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0" name="Text Box 107">
          <a:extLst>
            <a:ext uri="{FF2B5EF4-FFF2-40B4-BE49-F238E27FC236}">
              <a16:creationId xmlns:a16="http://schemas.microsoft.com/office/drawing/2014/main" id="{00000000-0008-0000-0800-00000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1" name="Text Box 108">
          <a:extLst>
            <a:ext uri="{FF2B5EF4-FFF2-40B4-BE49-F238E27FC236}">
              <a16:creationId xmlns:a16="http://schemas.microsoft.com/office/drawing/2014/main" id="{00000000-0008-0000-0800-00000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2" name="Text Box 109">
          <a:extLst>
            <a:ext uri="{FF2B5EF4-FFF2-40B4-BE49-F238E27FC236}">
              <a16:creationId xmlns:a16="http://schemas.microsoft.com/office/drawing/2014/main" id="{00000000-0008-0000-0800-00000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3" name="Text Box 110">
          <a:extLst>
            <a:ext uri="{FF2B5EF4-FFF2-40B4-BE49-F238E27FC236}">
              <a16:creationId xmlns:a16="http://schemas.microsoft.com/office/drawing/2014/main" id="{00000000-0008-0000-0800-00000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4" name="Text Box 111">
          <a:extLst>
            <a:ext uri="{FF2B5EF4-FFF2-40B4-BE49-F238E27FC236}">
              <a16:creationId xmlns:a16="http://schemas.microsoft.com/office/drawing/2014/main" id="{00000000-0008-0000-0800-00000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5" name="Text Box 119">
          <a:extLst>
            <a:ext uri="{FF2B5EF4-FFF2-40B4-BE49-F238E27FC236}">
              <a16:creationId xmlns:a16="http://schemas.microsoft.com/office/drawing/2014/main" id="{00000000-0008-0000-0800-00000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6" name="Text Box 120">
          <a:extLst>
            <a:ext uri="{FF2B5EF4-FFF2-40B4-BE49-F238E27FC236}">
              <a16:creationId xmlns:a16="http://schemas.microsoft.com/office/drawing/2014/main" id="{00000000-0008-0000-0800-00000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7" name="Text Box 121">
          <a:extLst>
            <a:ext uri="{FF2B5EF4-FFF2-40B4-BE49-F238E27FC236}">
              <a16:creationId xmlns:a16="http://schemas.microsoft.com/office/drawing/2014/main" id="{00000000-0008-0000-0800-00000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8" name="Text Box 122">
          <a:extLst>
            <a:ext uri="{FF2B5EF4-FFF2-40B4-BE49-F238E27FC236}">
              <a16:creationId xmlns:a16="http://schemas.microsoft.com/office/drawing/2014/main" id="{00000000-0008-0000-0800-00000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9" name="Text Box 123">
          <a:extLst>
            <a:ext uri="{FF2B5EF4-FFF2-40B4-BE49-F238E27FC236}">
              <a16:creationId xmlns:a16="http://schemas.microsoft.com/office/drawing/2014/main" id="{00000000-0008-0000-0800-00000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0" name="Text Box 124">
          <a:extLst>
            <a:ext uri="{FF2B5EF4-FFF2-40B4-BE49-F238E27FC236}">
              <a16:creationId xmlns:a16="http://schemas.microsoft.com/office/drawing/2014/main" id="{00000000-0008-0000-0800-00000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1" name="Text Box 125">
          <a:extLst>
            <a:ext uri="{FF2B5EF4-FFF2-40B4-BE49-F238E27FC236}">
              <a16:creationId xmlns:a16="http://schemas.microsoft.com/office/drawing/2014/main" id="{00000000-0008-0000-0800-00000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2" name="Text Box 126">
          <a:extLst>
            <a:ext uri="{FF2B5EF4-FFF2-40B4-BE49-F238E27FC236}">
              <a16:creationId xmlns:a16="http://schemas.microsoft.com/office/drawing/2014/main" id="{00000000-0008-0000-0800-00000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3" name="Text Box 127">
          <a:extLst>
            <a:ext uri="{FF2B5EF4-FFF2-40B4-BE49-F238E27FC236}">
              <a16:creationId xmlns:a16="http://schemas.microsoft.com/office/drawing/2014/main" id="{00000000-0008-0000-0800-00000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4" name="Text Box 128">
          <a:extLst>
            <a:ext uri="{FF2B5EF4-FFF2-40B4-BE49-F238E27FC236}">
              <a16:creationId xmlns:a16="http://schemas.microsoft.com/office/drawing/2014/main" id="{00000000-0008-0000-0800-00000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5" name="Text Box 129">
          <a:extLst>
            <a:ext uri="{FF2B5EF4-FFF2-40B4-BE49-F238E27FC236}">
              <a16:creationId xmlns:a16="http://schemas.microsoft.com/office/drawing/2014/main" id="{00000000-0008-0000-0800-00000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6" name="Text Box 130">
          <a:extLst>
            <a:ext uri="{FF2B5EF4-FFF2-40B4-BE49-F238E27FC236}">
              <a16:creationId xmlns:a16="http://schemas.microsoft.com/office/drawing/2014/main" id="{00000000-0008-0000-0800-00001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7" name="Text Box 133">
          <a:extLst>
            <a:ext uri="{FF2B5EF4-FFF2-40B4-BE49-F238E27FC236}">
              <a16:creationId xmlns:a16="http://schemas.microsoft.com/office/drawing/2014/main" id="{00000000-0008-0000-0800-00001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8" name="Text Box 134">
          <a:extLst>
            <a:ext uri="{FF2B5EF4-FFF2-40B4-BE49-F238E27FC236}">
              <a16:creationId xmlns:a16="http://schemas.microsoft.com/office/drawing/2014/main" id="{00000000-0008-0000-0800-00001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9" name="Text Box 135">
          <a:extLst>
            <a:ext uri="{FF2B5EF4-FFF2-40B4-BE49-F238E27FC236}">
              <a16:creationId xmlns:a16="http://schemas.microsoft.com/office/drawing/2014/main" id="{00000000-0008-0000-0800-00001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0" name="Text Box 136">
          <a:extLst>
            <a:ext uri="{FF2B5EF4-FFF2-40B4-BE49-F238E27FC236}">
              <a16:creationId xmlns:a16="http://schemas.microsoft.com/office/drawing/2014/main" id="{00000000-0008-0000-0800-00001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1" name="Text Box 137">
          <a:extLst>
            <a:ext uri="{FF2B5EF4-FFF2-40B4-BE49-F238E27FC236}">
              <a16:creationId xmlns:a16="http://schemas.microsoft.com/office/drawing/2014/main" id="{00000000-0008-0000-0800-00001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2" name="Text Box 138">
          <a:extLst>
            <a:ext uri="{FF2B5EF4-FFF2-40B4-BE49-F238E27FC236}">
              <a16:creationId xmlns:a16="http://schemas.microsoft.com/office/drawing/2014/main" id="{00000000-0008-0000-0800-00001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3" name="Text Box 139">
          <a:extLst>
            <a:ext uri="{FF2B5EF4-FFF2-40B4-BE49-F238E27FC236}">
              <a16:creationId xmlns:a16="http://schemas.microsoft.com/office/drawing/2014/main" id="{00000000-0008-0000-0800-00001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4" name="Text Box 140">
          <a:extLst>
            <a:ext uri="{FF2B5EF4-FFF2-40B4-BE49-F238E27FC236}">
              <a16:creationId xmlns:a16="http://schemas.microsoft.com/office/drawing/2014/main" id="{00000000-0008-0000-0800-00001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5" name="Text Box 141">
          <a:extLst>
            <a:ext uri="{FF2B5EF4-FFF2-40B4-BE49-F238E27FC236}">
              <a16:creationId xmlns:a16="http://schemas.microsoft.com/office/drawing/2014/main" id="{00000000-0008-0000-0800-00001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6" name="Text Box 142">
          <a:extLst>
            <a:ext uri="{FF2B5EF4-FFF2-40B4-BE49-F238E27FC236}">
              <a16:creationId xmlns:a16="http://schemas.microsoft.com/office/drawing/2014/main" id="{00000000-0008-0000-0800-00001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7" name="Text Box 143">
          <a:extLst>
            <a:ext uri="{FF2B5EF4-FFF2-40B4-BE49-F238E27FC236}">
              <a16:creationId xmlns:a16="http://schemas.microsoft.com/office/drawing/2014/main" id="{00000000-0008-0000-0800-00001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8" name="Text Box 144">
          <a:extLst>
            <a:ext uri="{FF2B5EF4-FFF2-40B4-BE49-F238E27FC236}">
              <a16:creationId xmlns:a16="http://schemas.microsoft.com/office/drawing/2014/main" id="{00000000-0008-0000-0800-00001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9" name="Text Box 145">
          <a:extLst>
            <a:ext uri="{FF2B5EF4-FFF2-40B4-BE49-F238E27FC236}">
              <a16:creationId xmlns:a16="http://schemas.microsoft.com/office/drawing/2014/main" id="{00000000-0008-0000-0800-00001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0" name="Text Box 146">
          <a:extLst>
            <a:ext uri="{FF2B5EF4-FFF2-40B4-BE49-F238E27FC236}">
              <a16:creationId xmlns:a16="http://schemas.microsoft.com/office/drawing/2014/main" id="{00000000-0008-0000-0800-00001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1" name="Text Box 147">
          <a:extLst>
            <a:ext uri="{FF2B5EF4-FFF2-40B4-BE49-F238E27FC236}">
              <a16:creationId xmlns:a16="http://schemas.microsoft.com/office/drawing/2014/main" id="{00000000-0008-0000-0800-00001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2" name="Text Box 148">
          <a:extLst>
            <a:ext uri="{FF2B5EF4-FFF2-40B4-BE49-F238E27FC236}">
              <a16:creationId xmlns:a16="http://schemas.microsoft.com/office/drawing/2014/main" id="{00000000-0008-0000-0800-00002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3" name="Text Box 149">
          <a:extLst>
            <a:ext uri="{FF2B5EF4-FFF2-40B4-BE49-F238E27FC236}">
              <a16:creationId xmlns:a16="http://schemas.microsoft.com/office/drawing/2014/main" id="{00000000-0008-0000-0800-00002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4" name="Text Box 150">
          <a:extLst>
            <a:ext uri="{FF2B5EF4-FFF2-40B4-BE49-F238E27FC236}">
              <a16:creationId xmlns:a16="http://schemas.microsoft.com/office/drawing/2014/main" id="{00000000-0008-0000-0800-00002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5" name="Text Box 151">
          <a:extLst>
            <a:ext uri="{FF2B5EF4-FFF2-40B4-BE49-F238E27FC236}">
              <a16:creationId xmlns:a16="http://schemas.microsoft.com/office/drawing/2014/main" id="{00000000-0008-0000-0800-00002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6" name="Text Box 152">
          <a:extLst>
            <a:ext uri="{FF2B5EF4-FFF2-40B4-BE49-F238E27FC236}">
              <a16:creationId xmlns:a16="http://schemas.microsoft.com/office/drawing/2014/main" id="{00000000-0008-0000-0800-00002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7" name="Text Box 153">
          <a:extLst>
            <a:ext uri="{FF2B5EF4-FFF2-40B4-BE49-F238E27FC236}">
              <a16:creationId xmlns:a16="http://schemas.microsoft.com/office/drawing/2014/main" id="{00000000-0008-0000-0800-00002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8" name="Text Box 154">
          <a:extLst>
            <a:ext uri="{FF2B5EF4-FFF2-40B4-BE49-F238E27FC236}">
              <a16:creationId xmlns:a16="http://schemas.microsoft.com/office/drawing/2014/main" id="{00000000-0008-0000-0800-00002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9" name="Text Box 155">
          <a:extLst>
            <a:ext uri="{FF2B5EF4-FFF2-40B4-BE49-F238E27FC236}">
              <a16:creationId xmlns:a16="http://schemas.microsoft.com/office/drawing/2014/main" id="{00000000-0008-0000-0800-00002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0" name="Text Box 156">
          <a:extLst>
            <a:ext uri="{FF2B5EF4-FFF2-40B4-BE49-F238E27FC236}">
              <a16:creationId xmlns:a16="http://schemas.microsoft.com/office/drawing/2014/main" id="{00000000-0008-0000-0800-00002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1" name="Text Box 157">
          <a:extLst>
            <a:ext uri="{FF2B5EF4-FFF2-40B4-BE49-F238E27FC236}">
              <a16:creationId xmlns:a16="http://schemas.microsoft.com/office/drawing/2014/main" id="{00000000-0008-0000-0800-00002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2" name="Text Box 158">
          <a:extLst>
            <a:ext uri="{FF2B5EF4-FFF2-40B4-BE49-F238E27FC236}">
              <a16:creationId xmlns:a16="http://schemas.microsoft.com/office/drawing/2014/main" id="{00000000-0008-0000-0800-00002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3" name="Text Box 159">
          <a:extLst>
            <a:ext uri="{FF2B5EF4-FFF2-40B4-BE49-F238E27FC236}">
              <a16:creationId xmlns:a16="http://schemas.microsoft.com/office/drawing/2014/main" id="{00000000-0008-0000-0800-00002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4" name="Text Box 160">
          <a:extLst>
            <a:ext uri="{FF2B5EF4-FFF2-40B4-BE49-F238E27FC236}">
              <a16:creationId xmlns:a16="http://schemas.microsoft.com/office/drawing/2014/main" id="{00000000-0008-0000-0800-00002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5" name="Text Box 161">
          <a:extLst>
            <a:ext uri="{FF2B5EF4-FFF2-40B4-BE49-F238E27FC236}">
              <a16:creationId xmlns:a16="http://schemas.microsoft.com/office/drawing/2014/main" id="{00000000-0008-0000-0800-00002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6" name="Text Box 162">
          <a:extLst>
            <a:ext uri="{FF2B5EF4-FFF2-40B4-BE49-F238E27FC236}">
              <a16:creationId xmlns:a16="http://schemas.microsoft.com/office/drawing/2014/main" id="{00000000-0008-0000-0800-00002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7" name="Text Box 163">
          <a:extLst>
            <a:ext uri="{FF2B5EF4-FFF2-40B4-BE49-F238E27FC236}">
              <a16:creationId xmlns:a16="http://schemas.microsoft.com/office/drawing/2014/main" id="{00000000-0008-0000-0800-00002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8" name="Text Box 164">
          <a:extLst>
            <a:ext uri="{FF2B5EF4-FFF2-40B4-BE49-F238E27FC236}">
              <a16:creationId xmlns:a16="http://schemas.microsoft.com/office/drawing/2014/main" id="{00000000-0008-0000-0800-00003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9" name="Text Box 165">
          <a:extLst>
            <a:ext uri="{FF2B5EF4-FFF2-40B4-BE49-F238E27FC236}">
              <a16:creationId xmlns:a16="http://schemas.microsoft.com/office/drawing/2014/main" id="{00000000-0008-0000-0800-00003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0" name="Text Box 166">
          <a:extLst>
            <a:ext uri="{FF2B5EF4-FFF2-40B4-BE49-F238E27FC236}">
              <a16:creationId xmlns:a16="http://schemas.microsoft.com/office/drawing/2014/main" id="{00000000-0008-0000-0800-00003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1" name="Text Box 167">
          <a:extLst>
            <a:ext uri="{FF2B5EF4-FFF2-40B4-BE49-F238E27FC236}">
              <a16:creationId xmlns:a16="http://schemas.microsoft.com/office/drawing/2014/main" id="{00000000-0008-0000-0800-00003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2" name="Text Box 168">
          <a:extLst>
            <a:ext uri="{FF2B5EF4-FFF2-40B4-BE49-F238E27FC236}">
              <a16:creationId xmlns:a16="http://schemas.microsoft.com/office/drawing/2014/main" id="{00000000-0008-0000-0800-00003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3" name="Text Box 169">
          <a:extLst>
            <a:ext uri="{FF2B5EF4-FFF2-40B4-BE49-F238E27FC236}">
              <a16:creationId xmlns:a16="http://schemas.microsoft.com/office/drawing/2014/main" id="{00000000-0008-0000-0800-00003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4" name="Text Box 170">
          <a:extLst>
            <a:ext uri="{FF2B5EF4-FFF2-40B4-BE49-F238E27FC236}">
              <a16:creationId xmlns:a16="http://schemas.microsoft.com/office/drawing/2014/main" id="{00000000-0008-0000-0800-00003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5" name="Text Box 171">
          <a:extLst>
            <a:ext uri="{FF2B5EF4-FFF2-40B4-BE49-F238E27FC236}">
              <a16:creationId xmlns:a16="http://schemas.microsoft.com/office/drawing/2014/main" id="{00000000-0008-0000-0800-00003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6" name="Text Box 172">
          <a:extLst>
            <a:ext uri="{FF2B5EF4-FFF2-40B4-BE49-F238E27FC236}">
              <a16:creationId xmlns:a16="http://schemas.microsoft.com/office/drawing/2014/main" id="{00000000-0008-0000-0800-00003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7" name="Text Box 173">
          <a:extLst>
            <a:ext uri="{FF2B5EF4-FFF2-40B4-BE49-F238E27FC236}">
              <a16:creationId xmlns:a16="http://schemas.microsoft.com/office/drawing/2014/main" id="{00000000-0008-0000-0800-00003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8" name="Text Box 174">
          <a:extLst>
            <a:ext uri="{FF2B5EF4-FFF2-40B4-BE49-F238E27FC236}">
              <a16:creationId xmlns:a16="http://schemas.microsoft.com/office/drawing/2014/main" id="{00000000-0008-0000-0800-00003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9" name="Text Box 175">
          <a:extLst>
            <a:ext uri="{FF2B5EF4-FFF2-40B4-BE49-F238E27FC236}">
              <a16:creationId xmlns:a16="http://schemas.microsoft.com/office/drawing/2014/main" id="{00000000-0008-0000-0800-00003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0" name="Text Box 176">
          <a:extLst>
            <a:ext uri="{FF2B5EF4-FFF2-40B4-BE49-F238E27FC236}">
              <a16:creationId xmlns:a16="http://schemas.microsoft.com/office/drawing/2014/main" id="{00000000-0008-0000-0800-00003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1" name="Text Box 177">
          <a:extLst>
            <a:ext uri="{FF2B5EF4-FFF2-40B4-BE49-F238E27FC236}">
              <a16:creationId xmlns:a16="http://schemas.microsoft.com/office/drawing/2014/main" id="{00000000-0008-0000-0800-00003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2" name="Text Box 178">
          <a:extLst>
            <a:ext uri="{FF2B5EF4-FFF2-40B4-BE49-F238E27FC236}">
              <a16:creationId xmlns:a16="http://schemas.microsoft.com/office/drawing/2014/main" id="{00000000-0008-0000-0800-00003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3" name="Text Box 179">
          <a:extLst>
            <a:ext uri="{FF2B5EF4-FFF2-40B4-BE49-F238E27FC236}">
              <a16:creationId xmlns:a16="http://schemas.microsoft.com/office/drawing/2014/main" id="{00000000-0008-0000-0800-00003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4" name="Text Box 180">
          <a:extLst>
            <a:ext uri="{FF2B5EF4-FFF2-40B4-BE49-F238E27FC236}">
              <a16:creationId xmlns:a16="http://schemas.microsoft.com/office/drawing/2014/main" id="{00000000-0008-0000-0800-00004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5" name="Text Box 181">
          <a:extLst>
            <a:ext uri="{FF2B5EF4-FFF2-40B4-BE49-F238E27FC236}">
              <a16:creationId xmlns:a16="http://schemas.microsoft.com/office/drawing/2014/main" id="{00000000-0008-0000-0800-00004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6" name="Text Box 182">
          <a:extLst>
            <a:ext uri="{FF2B5EF4-FFF2-40B4-BE49-F238E27FC236}">
              <a16:creationId xmlns:a16="http://schemas.microsoft.com/office/drawing/2014/main" id="{00000000-0008-0000-0800-00004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7" name="Text Box 183">
          <a:extLst>
            <a:ext uri="{FF2B5EF4-FFF2-40B4-BE49-F238E27FC236}">
              <a16:creationId xmlns:a16="http://schemas.microsoft.com/office/drawing/2014/main" id="{00000000-0008-0000-0800-00004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8" name="Text Box 184">
          <a:extLst>
            <a:ext uri="{FF2B5EF4-FFF2-40B4-BE49-F238E27FC236}">
              <a16:creationId xmlns:a16="http://schemas.microsoft.com/office/drawing/2014/main" id="{00000000-0008-0000-0800-00004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9" name="Text Box 185">
          <a:extLst>
            <a:ext uri="{FF2B5EF4-FFF2-40B4-BE49-F238E27FC236}">
              <a16:creationId xmlns:a16="http://schemas.microsoft.com/office/drawing/2014/main" id="{00000000-0008-0000-0800-00004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0" name="Text Box 186">
          <a:extLst>
            <a:ext uri="{FF2B5EF4-FFF2-40B4-BE49-F238E27FC236}">
              <a16:creationId xmlns:a16="http://schemas.microsoft.com/office/drawing/2014/main" id="{00000000-0008-0000-0800-00004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1" name="Text Box 187">
          <a:extLst>
            <a:ext uri="{FF2B5EF4-FFF2-40B4-BE49-F238E27FC236}">
              <a16:creationId xmlns:a16="http://schemas.microsoft.com/office/drawing/2014/main" id="{00000000-0008-0000-0800-00004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2" name="Text Box 188">
          <a:extLst>
            <a:ext uri="{FF2B5EF4-FFF2-40B4-BE49-F238E27FC236}">
              <a16:creationId xmlns:a16="http://schemas.microsoft.com/office/drawing/2014/main" id="{00000000-0008-0000-0800-00004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3" name="Text Box 189">
          <a:extLst>
            <a:ext uri="{FF2B5EF4-FFF2-40B4-BE49-F238E27FC236}">
              <a16:creationId xmlns:a16="http://schemas.microsoft.com/office/drawing/2014/main" id="{00000000-0008-0000-0800-00004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4" name="Text Box 190">
          <a:extLst>
            <a:ext uri="{FF2B5EF4-FFF2-40B4-BE49-F238E27FC236}">
              <a16:creationId xmlns:a16="http://schemas.microsoft.com/office/drawing/2014/main" id="{00000000-0008-0000-0800-00004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5" name="Text Box 191">
          <a:extLst>
            <a:ext uri="{FF2B5EF4-FFF2-40B4-BE49-F238E27FC236}">
              <a16:creationId xmlns:a16="http://schemas.microsoft.com/office/drawing/2014/main" id="{00000000-0008-0000-0800-00004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6" name="Text Box 192">
          <a:extLst>
            <a:ext uri="{FF2B5EF4-FFF2-40B4-BE49-F238E27FC236}">
              <a16:creationId xmlns:a16="http://schemas.microsoft.com/office/drawing/2014/main" id="{00000000-0008-0000-0800-00004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7" name="Text Box 193">
          <a:extLst>
            <a:ext uri="{FF2B5EF4-FFF2-40B4-BE49-F238E27FC236}">
              <a16:creationId xmlns:a16="http://schemas.microsoft.com/office/drawing/2014/main" id="{00000000-0008-0000-0800-00004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8" name="Text Box 194">
          <a:extLst>
            <a:ext uri="{FF2B5EF4-FFF2-40B4-BE49-F238E27FC236}">
              <a16:creationId xmlns:a16="http://schemas.microsoft.com/office/drawing/2014/main" id="{00000000-0008-0000-0800-00004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9" name="Text Box 195">
          <a:extLst>
            <a:ext uri="{FF2B5EF4-FFF2-40B4-BE49-F238E27FC236}">
              <a16:creationId xmlns:a16="http://schemas.microsoft.com/office/drawing/2014/main" id="{00000000-0008-0000-0800-00004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0" name="Text Box 196">
          <a:extLst>
            <a:ext uri="{FF2B5EF4-FFF2-40B4-BE49-F238E27FC236}">
              <a16:creationId xmlns:a16="http://schemas.microsoft.com/office/drawing/2014/main" id="{00000000-0008-0000-0800-00005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1" name="Text Box 197">
          <a:extLst>
            <a:ext uri="{FF2B5EF4-FFF2-40B4-BE49-F238E27FC236}">
              <a16:creationId xmlns:a16="http://schemas.microsoft.com/office/drawing/2014/main" id="{00000000-0008-0000-0800-00005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2" name="Text Box 198">
          <a:extLst>
            <a:ext uri="{FF2B5EF4-FFF2-40B4-BE49-F238E27FC236}">
              <a16:creationId xmlns:a16="http://schemas.microsoft.com/office/drawing/2014/main" id="{00000000-0008-0000-0800-00005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3" name="Text Box 199">
          <a:extLst>
            <a:ext uri="{FF2B5EF4-FFF2-40B4-BE49-F238E27FC236}">
              <a16:creationId xmlns:a16="http://schemas.microsoft.com/office/drawing/2014/main" id="{00000000-0008-0000-0800-00005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4" name="Text Box 200">
          <a:extLst>
            <a:ext uri="{FF2B5EF4-FFF2-40B4-BE49-F238E27FC236}">
              <a16:creationId xmlns:a16="http://schemas.microsoft.com/office/drawing/2014/main" id="{00000000-0008-0000-0800-00005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5" name="Text Box 201">
          <a:extLst>
            <a:ext uri="{FF2B5EF4-FFF2-40B4-BE49-F238E27FC236}">
              <a16:creationId xmlns:a16="http://schemas.microsoft.com/office/drawing/2014/main" id="{00000000-0008-0000-0800-00005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6" name="Text Box 202">
          <a:extLst>
            <a:ext uri="{FF2B5EF4-FFF2-40B4-BE49-F238E27FC236}">
              <a16:creationId xmlns:a16="http://schemas.microsoft.com/office/drawing/2014/main" id="{00000000-0008-0000-0800-00005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7" name="Text Box 203">
          <a:extLst>
            <a:ext uri="{FF2B5EF4-FFF2-40B4-BE49-F238E27FC236}">
              <a16:creationId xmlns:a16="http://schemas.microsoft.com/office/drawing/2014/main" id="{00000000-0008-0000-0800-00005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8" name="Text Box 204">
          <a:extLst>
            <a:ext uri="{FF2B5EF4-FFF2-40B4-BE49-F238E27FC236}">
              <a16:creationId xmlns:a16="http://schemas.microsoft.com/office/drawing/2014/main" id="{00000000-0008-0000-0800-00005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9" name="Text Box 205">
          <a:extLst>
            <a:ext uri="{FF2B5EF4-FFF2-40B4-BE49-F238E27FC236}">
              <a16:creationId xmlns:a16="http://schemas.microsoft.com/office/drawing/2014/main" id="{00000000-0008-0000-0800-00005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0" name="Text Box 206">
          <a:extLst>
            <a:ext uri="{FF2B5EF4-FFF2-40B4-BE49-F238E27FC236}">
              <a16:creationId xmlns:a16="http://schemas.microsoft.com/office/drawing/2014/main" id="{00000000-0008-0000-0800-00005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1" name="Text Box 207">
          <a:extLst>
            <a:ext uri="{FF2B5EF4-FFF2-40B4-BE49-F238E27FC236}">
              <a16:creationId xmlns:a16="http://schemas.microsoft.com/office/drawing/2014/main" id="{00000000-0008-0000-0800-00005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2" name="Text Box 208">
          <a:extLst>
            <a:ext uri="{FF2B5EF4-FFF2-40B4-BE49-F238E27FC236}">
              <a16:creationId xmlns:a16="http://schemas.microsoft.com/office/drawing/2014/main" id="{00000000-0008-0000-0800-00005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3" name="Text Box 209">
          <a:extLst>
            <a:ext uri="{FF2B5EF4-FFF2-40B4-BE49-F238E27FC236}">
              <a16:creationId xmlns:a16="http://schemas.microsoft.com/office/drawing/2014/main" id="{00000000-0008-0000-0800-00005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4" name="Text Box 210">
          <a:extLst>
            <a:ext uri="{FF2B5EF4-FFF2-40B4-BE49-F238E27FC236}">
              <a16:creationId xmlns:a16="http://schemas.microsoft.com/office/drawing/2014/main" id="{00000000-0008-0000-0800-00005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5" name="Text Box 211">
          <a:extLst>
            <a:ext uri="{FF2B5EF4-FFF2-40B4-BE49-F238E27FC236}">
              <a16:creationId xmlns:a16="http://schemas.microsoft.com/office/drawing/2014/main" id="{00000000-0008-0000-0800-00005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6" name="Text Box 212">
          <a:extLst>
            <a:ext uri="{FF2B5EF4-FFF2-40B4-BE49-F238E27FC236}">
              <a16:creationId xmlns:a16="http://schemas.microsoft.com/office/drawing/2014/main" id="{00000000-0008-0000-0800-00006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7" name="Text Box 213">
          <a:extLst>
            <a:ext uri="{FF2B5EF4-FFF2-40B4-BE49-F238E27FC236}">
              <a16:creationId xmlns:a16="http://schemas.microsoft.com/office/drawing/2014/main" id="{00000000-0008-0000-0800-00006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8" name="Text Box 214">
          <a:extLst>
            <a:ext uri="{FF2B5EF4-FFF2-40B4-BE49-F238E27FC236}">
              <a16:creationId xmlns:a16="http://schemas.microsoft.com/office/drawing/2014/main" id="{00000000-0008-0000-0800-00006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9" name="Text Box 215">
          <a:extLst>
            <a:ext uri="{FF2B5EF4-FFF2-40B4-BE49-F238E27FC236}">
              <a16:creationId xmlns:a16="http://schemas.microsoft.com/office/drawing/2014/main" id="{00000000-0008-0000-0800-00006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0" name="Text Box 216">
          <a:extLst>
            <a:ext uri="{FF2B5EF4-FFF2-40B4-BE49-F238E27FC236}">
              <a16:creationId xmlns:a16="http://schemas.microsoft.com/office/drawing/2014/main" id="{00000000-0008-0000-0800-00006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1" name="Text Box 217">
          <a:extLst>
            <a:ext uri="{FF2B5EF4-FFF2-40B4-BE49-F238E27FC236}">
              <a16:creationId xmlns:a16="http://schemas.microsoft.com/office/drawing/2014/main" id="{00000000-0008-0000-0800-00006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2" name="Text Box 218">
          <a:extLst>
            <a:ext uri="{FF2B5EF4-FFF2-40B4-BE49-F238E27FC236}">
              <a16:creationId xmlns:a16="http://schemas.microsoft.com/office/drawing/2014/main" id="{00000000-0008-0000-0800-00006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3" name="Text Box 219">
          <a:extLst>
            <a:ext uri="{FF2B5EF4-FFF2-40B4-BE49-F238E27FC236}">
              <a16:creationId xmlns:a16="http://schemas.microsoft.com/office/drawing/2014/main" id="{00000000-0008-0000-0800-00006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4" name="Text Box 220">
          <a:extLst>
            <a:ext uri="{FF2B5EF4-FFF2-40B4-BE49-F238E27FC236}">
              <a16:creationId xmlns:a16="http://schemas.microsoft.com/office/drawing/2014/main" id="{00000000-0008-0000-0800-00006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5" name="Text Box 221">
          <a:extLst>
            <a:ext uri="{FF2B5EF4-FFF2-40B4-BE49-F238E27FC236}">
              <a16:creationId xmlns:a16="http://schemas.microsoft.com/office/drawing/2014/main" id="{00000000-0008-0000-0800-00006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6" name="Text Box 222">
          <a:extLst>
            <a:ext uri="{FF2B5EF4-FFF2-40B4-BE49-F238E27FC236}">
              <a16:creationId xmlns:a16="http://schemas.microsoft.com/office/drawing/2014/main" id="{00000000-0008-0000-0800-00006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7" name="Text Box 223">
          <a:extLst>
            <a:ext uri="{FF2B5EF4-FFF2-40B4-BE49-F238E27FC236}">
              <a16:creationId xmlns:a16="http://schemas.microsoft.com/office/drawing/2014/main" id="{00000000-0008-0000-0800-00006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8" name="Text Box 224">
          <a:extLst>
            <a:ext uri="{FF2B5EF4-FFF2-40B4-BE49-F238E27FC236}">
              <a16:creationId xmlns:a16="http://schemas.microsoft.com/office/drawing/2014/main" id="{00000000-0008-0000-0800-00006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9" name="Text Box 225">
          <a:extLst>
            <a:ext uri="{FF2B5EF4-FFF2-40B4-BE49-F238E27FC236}">
              <a16:creationId xmlns:a16="http://schemas.microsoft.com/office/drawing/2014/main" id="{00000000-0008-0000-0800-00006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90" name="Text Box 226">
          <a:extLst>
            <a:ext uri="{FF2B5EF4-FFF2-40B4-BE49-F238E27FC236}">
              <a16:creationId xmlns:a16="http://schemas.microsoft.com/office/drawing/2014/main" id="{00000000-0008-0000-0800-00006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1" name="Text Box 227">
          <a:extLst>
            <a:ext uri="{FF2B5EF4-FFF2-40B4-BE49-F238E27FC236}">
              <a16:creationId xmlns:a16="http://schemas.microsoft.com/office/drawing/2014/main" id="{00000000-0008-0000-0800-00006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2" name="Text Box 228">
          <a:extLst>
            <a:ext uri="{FF2B5EF4-FFF2-40B4-BE49-F238E27FC236}">
              <a16:creationId xmlns:a16="http://schemas.microsoft.com/office/drawing/2014/main" id="{00000000-0008-0000-0800-00007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3" name="Text Box 229">
          <a:extLst>
            <a:ext uri="{FF2B5EF4-FFF2-40B4-BE49-F238E27FC236}">
              <a16:creationId xmlns:a16="http://schemas.microsoft.com/office/drawing/2014/main" id="{00000000-0008-0000-0800-00007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4" name="Text Box 230">
          <a:extLst>
            <a:ext uri="{FF2B5EF4-FFF2-40B4-BE49-F238E27FC236}">
              <a16:creationId xmlns:a16="http://schemas.microsoft.com/office/drawing/2014/main" id="{00000000-0008-0000-0800-00007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5" name="Text Box 231">
          <a:extLst>
            <a:ext uri="{FF2B5EF4-FFF2-40B4-BE49-F238E27FC236}">
              <a16:creationId xmlns:a16="http://schemas.microsoft.com/office/drawing/2014/main" id="{00000000-0008-0000-0800-00007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6" name="Text Box 232">
          <a:extLst>
            <a:ext uri="{FF2B5EF4-FFF2-40B4-BE49-F238E27FC236}">
              <a16:creationId xmlns:a16="http://schemas.microsoft.com/office/drawing/2014/main" id="{00000000-0008-0000-0800-00007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7" name="Text Box 233">
          <a:extLst>
            <a:ext uri="{FF2B5EF4-FFF2-40B4-BE49-F238E27FC236}">
              <a16:creationId xmlns:a16="http://schemas.microsoft.com/office/drawing/2014/main" id="{00000000-0008-0000-0800-00007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8" name="Text Box 234">
          <a:extLst>
            <a:ext uri="{FF2B5EF4-FFF2-40B4-BE49-F238E27FC236}">
              <a16:creationId xmlns:a16="http://schemas.microsoft.com/office/drawing/2014/main" id="{00000000-0008-0000-0800-00007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9" name="Text Box 235">
          <a:extLst>
            <a:ext uri="{FF2B5EF4-FFF2-40B4-BE49-F238E27FC236}">
              <a16:creationId xmlns:a16="http://schemas.microsoft.com/office/drawing/2014/main" id="{00000000-0008-0000-0800-00007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0" name="Text Box 236">
          <a:extLst>
            <a:ext uri="{FF2B5EF4-FFF2-40B4-BE49-F238E27FC236}">
              <a16:creationId xmlns:a16="http://schemas.microsoft.com/office/drawing/2014/main" id="{00000000-0008-0000-0800-00007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1" name="Text Box 237">
          <a:extLst>
            <a:ext uri="{FF2B5EF4-FFF2-40B4-BE49-F238E27FC236}">
              <a16:creationId xmlns:a16="http://schemas.microsoft.com/office/drawing/2014/main" id="{00000000-0008-0000-0800-00007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2" name="Text Box 238">
          <a:extLst>
            <a:ext uri="{FF2B5EF4-FFF2-40B4-BE49-F238E27FC236}">
              <a16:creationId xmlns:a16="http://schemas.microsoft.com/office/drawing/2014/main" id="{00000000-0008-0000-0800-00007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3" name="Text Box 239">
          <a:extLst>
            <a:ext uri="{FF2B5EF4-FFF2-40B4-BE49-F238E27FC236}">
              <a16:creationId xmlns:a16="http://schemas.microsoft.com/office/drawing/2014/main" id="{00000000-0008-0000-0800-00007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4" name="Text Box 240">
          <a:extLst>
            <a:ext uri="{FF2B5EF4-FFF2-40B4-BE49-F238E27FC236}">
              <a16:creationId xmlns:a16="http://schemas.microsoft.com/office/drawing/2014/main" id="{00000000-0008-0000-0800-00007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5" name="Text Box 241">
          <a:extLst>
            <a:ext uri="{FF2B5EF4-FFF2-40B4-BE49-F238E27FC236}">
              <a16:creationId xmlns:a16="http://schemas.microsoft.com/office/drawing/2014/main" id="{00000000-0008-0000-0800-00007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6" name="Text Box 242">
          <a:extLst>
            <a:ext uri="{FF2B5EF4-FFF2-40B4-BE49-F238E27FC236}">
              <a16:creationId xmlns:a16="http://schemas.microsoft.com/office/drawing/2014/main" id="{00000000-0008-0000-0800-00007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7" name="Text Box 243">
          <a:extLst>
            <a:ext uri="{FF2B5EF4-FFF2-40B4-BE49-F238E27FC236}">
              <a16:creationId xmlns:a16="http://schemas.microsoft.com/office/drawing/2014/main" id="{00000000-0008-0000-0800-00007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8" name="Text Box 244">
          <a:extLst>
            <a:ext uri="{FF2B5EF4-FFF2-40B4-BE49-F238E27FC236}">
              <a16:creationId xmlns:a16="http://schemas.microsoft.com/office/drawing/2014/main" id="{00000000-0008-0000-0800-00008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9" name="Text Box 245">
          <a:extLst>
            <a:ext uri="{FF2B5EF4-FFF2-40B4-BE49-F238E27FC236}">
              <a16:creationId xmlns:a16="http://schemas.microsoft.com/office/drawing/2014/main" id="{00000000-0008-0000-0800-00008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0" name="Text Box 246">
          <a:extLst>
            <a:ext uri="{FF2B5EF4-FFF2-40B4-BE49-F238E27FC236}">
              <a16:creationId xmlns:a16="http://schemas.microsoft.com/office/drawing/2014/main" id="{00000000-0008-0000-0800-00008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1" name="Text Box 247">
          <a:extLst>
            <a:ext uri="{FF2B5EF4-FFF2-40B4-BE49-F238E27FC236}">
              <a16:creationId xmlns:a16="http://schemas.microsoft.com/office/drawing/2014/main" id="{00000000-0008-0000-0800-00008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2" name="Text Box 248">
          <a:extLst>
            <a:ext uri="{FF2B5EF4-FFF2-40B4-BE49-F238E27FC236}">
              <a16:creationId xmlns:a16="http://schemas.microsoft.com/office/drawing/2014/main" id="{00000000-0008-0000-0800-00008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3" name="Text Box 249">
          <a:extLst>
            <a:ext uri="{FF2B5EF4-FFF2-40B4-BE49-F238E27FC236}">
              <a16:creationId xmlns:a16="http://schemas.microsoft.com/office/drawing/2014/main" id="{00000000-0008-0000-0800-00008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4" name="Text Box 250">
          <a:extLst>
            <a:ext uri="{FF2B5EF4-FFF2-40B4-BE49-F238E27FC236}">
              <a16:creationId xmlns:a16="http://schemas.microsoft.com/office/drawing/2014/main" id="{00000000-0008-0000-0800-00008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5" name="Text Box 251">
          <a:extLst>
            <a:ext uri="{FF2B5EF4-FFF2-40B4-BE49-F238E27FC236}">
              <a16:creationId xmlns:a16="http://schemas.microsoft.com/office/drawing/2014/main" id="{00000000-0008-0000-0800-00008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6" name="Text Box 252">
          <a:extLst>
            <a:ext uri="{FF2B5EF4-FFF2-40B4-BE49-F238E27FC236}">
              <a16:creationId xmlns:a16="http://schemas.microsoft.com/office/drawing/2014/main" id="{00000000-0008-0000-0800-00008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7" name="Text Box 253">
          <a:extLst>
            <a:ext uri="{FF2B5EF4-FFF2-40B4-BE49-F238E27FC236}">
              <a16:creationId xmlns:a16="http://schemas.microsoft.com/office/drawing/2014/main" id="{00000000-0008-0000-0800-00008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8" name="Text Box 254">
          <a:extLst>
            <a:ext uri="{FF2B5EF4-FFF2-40B4-BE49-F238E27FC236}">
              <a16:creationId xmlns:a16="http://schemas.microsoft.com/office/drawing/2014/main" id="{00000000-0008-0000-0800-00008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9" name="Text Box 255">
          <a:extLst>
            <a:ext uri="{FF2B5EF4-FFF2-40B4-BE49-F238E27FC236}">
              <a16:creationId xmlns:a16="http://schemas.microsoft.com/office/drawing/2014/main" id="{00000000-0008-0000-0800-00008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0" name="Text Box 256">
          <a:extLst>
            <a:ext uri="{FF2B5EF4-FFF2-40B4-BE49-F238E27FC236}">
              <a16:creationId xmlns:a16="http://schemas.microsoft.com/office/drawing/2014/main" id="{00000000-0008-0000-0800-00008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1" name="Text Box 257">
          <a:extLst>
            <a:ext uri="{FF2B5EF4-FFF2-40B4-BE49-F238E27FC236}">
              <a16:creationId xmlns:a16="http://schemas.microsoft.com/office/drawing/2014/main" id="{00000000-0008-0000-0800-00008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2" name="Text Box 258">
          <a:extLst>
            <a:ext uri="{FF2B5EF4-FFF2-40B4-BE49-F238E27FC236}">
              <a16:creationId xmlns:a16="http://schemas.microsoft.com/office/drawing/2014/main" id="{00000000-0008-0000-0800-00008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3" name="Text Box 259">
          <a:extLst>
            <a:ext uri="{FF2B5EF4-FFF2-40B4-BE49-F238E27FC236}">
              <a16:creationId xmlns:a16="http://schemas.microsoft.com/office/drawing/2014/main" id="{00000000-0008-0000-0800-00008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4" name="Text Box 260">
          <a:extLst>
            <a:ext uri="{FF2B5EF4-FFF2-40B4-BE49-F238E27FC236}">
              <a16:creationId xmlns:a16="http://schemas.microsoft.com/office/drawing/2014/main" id="{00000000-0008-0000-0800-00009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5" name="Text Box 261">
          <a:extLst>
            <a:ext uri="{FF2B5EF4-FFF2-40B4-BE49-F238E27FC236}">
              <a16:creationId xmlns:a16="http://schemas.microsoft.com/office/drawing/2014/main" id="{00000000-0008-0000-0800-00009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6" name="Text Box 262">
          <a:extLst>
            <a:ext uri="{FF2B5EF4-FFF2-40B4-BE49-F238E27FC236}">
              <a16:creationId xmlns:a16="http://schemas.microsoft.com/office/drawing/2014/main" id="{00000000-0008-0000-0800-00009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7" name="Text Box 263">
          <a:extLst>
            <a:ext uri="{FF2B5EF4-FFF2-40B4-BE49-F238E27FC236}">
              <a16:creationId xmlns:a16="http://schemas.microsoft.com/office/drawing/2014/main" id="{00000000-0008-0000-0800-00009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8" name="Text Box 264">
          <a:extLst>
            <a:ext uri="{FF2B5EF4-FFF2-40B4-BE49-F238E27FC236}">
              <a16:creationId xmlns:a16="http://schemas.microsoft.com/office/drawing/2014/main" id="{00000000-0008-0000-0800-00009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9" name="Text Box 265">
          <a:extLst>
            <a:ext uri="{FF2B5EF4-FFF2-40B4-BE49-F238E27FC236}">
              <a16:creationId xmlns:a16="http://schemas.microsoft.com/office/drawing/2014/main" id="{00000000-0008-0000-0800-00009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0" name="Text Box 266">
          <a:extLst>
            <a:ext uri="{FF2B5EF4-FFF2-40B4-BE49-F238E27FC236}">
              <a16:creationId xmlns:a16="http://schemas.microsoft.com/office/drawing/2014/main" id="{00000000-0008-0000-0800-00009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1" name="Text Box 267">
          <a:extLst>
            <a:ext uri="{FF2B5EF4-FFF2-40B4-BE49-F238E27FC236}">
              <a16:creationId xmlns:a16="http://schemas.microsoft.com/office/drawing/2014/main" id="{00000000-0008-0000-0800-00009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2" name="Text Box 268">
          <a:extLst>
            <a:ext uri="{FF2B5EF4-FFF2-40B4-BE49-F238E27FC236}">
              <a16:creationId xmlns:a16="http://schemas.microsoft.com/office/drawing/2014/main" id="{00000000-0008-0000-0800-00009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3" name="Text Box 269">
          <a:extLst>
            <a:ext uri="{FF2B5EF4-FFF2-40B4-BE49-F238E27FC236}">
              <a16:creationId xmlns:a16="http://schemas.microsoft.com/office/drawing/2014/main" id="{00000000-0008-0000-0800-00009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4" name="Text Box 270">
          <a:extLst>
            <a:ext uri="{FF2B5EF4-FFF2-40B4-BE49-F238E27FC236}">
              <a16:creationId xmlns:a16="http://schemas.microsoft.com/office/drawing/2014/main" id="{00000000-0008-0000-0800-00009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5" name="Text Box 271">
          <a:extLst>
            <a:ext uri="{FF2B5EF4-FFF2-40B4-BE49-F238E27FC236}">
              <a16:creationId xmlns:a16="http://schemas.microsoft.com/office/drawing/2014/main" id="{00000000-0008-0000-0800-00009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6" name="Text Box 272">
          <a:extLst>
            <a:ext uri="{FF2B5EF4-FFF2-40B4-BE49-F238E27FC236}">
              <a16:creationId xmlns:a16="http://schemas.microsoft.com/office/drawing/2014/main" id="{00000000-0008-0000-0800-00009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7" name="Text Box 273">
          <a:extLst>
            <a:ext uri="{FF2B5EF4-FFF2-40B4-BE49-F238E27FC236}">
              <a16:creationId xmlns:a16="http://schemas.microsoft.com/office/drawing/2014/main" id="{00000000-0008-0000-0800-00009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8" name="Text Box 274">
          <a:extLst>
            <a:ext uri="{FF2B5EF4-FFF2-40B4-BE49-F238E27FC236}">
              <a16:creationId xmlns:a16="http://schemas.microsoft.com/office/drawing/2014/main" id="{00000000-0008-0000-0800-00009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9" name="Text Box 275">
          <a:extLst>
            <a:ext uri="{FF2B5EF4-FFF2-40B4-BE49-F238E27FC236}">
              <a16:creationId xmlns:a16="http://schemas.microsoft.com/office/drawing/2014/main" id="{00000000-0008-0000-0800-00009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0" name="Text Box 276">
          <a:extLst>
            <a:ext uri="{FF2B5EF4-FFF2-40B4-BE49-F238E27FC236}">
              <a16:creationId xmlns:a16="http://schemas.microsoft.com/office/drawing/2014/main" id="{00000000-0008-0000-0800-0000A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1" name="Text Box 277">
          <a:extLst>
            <a:ext uri="{FF2B5EF4-FFF2-40B4-BE49-F238E27FC236}">
              <a16:creationId xmlns:a16="http://schemas.microsoft.com/office/drawing/2014/main" id="{00000000-0008-0000-0800-0000A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2" name="Text Box 278">
          <a:extLst>
            <a:ext uri="{FF2B5EF4-FFF2-40B4-BE49-F238E27FC236}">
              <a16:creationId xmlns:a16="http://schemas.microsoft.com/office/drawing/2014/main" id="{00000000-0008-0000-0800-0000A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3" name="Text Box 279">
          <a:extLst>
            <a:ext uri="{FF2B5EF4-FFF2-40B4-BE49-F238E27FC236}">
              <a16:creationId xmlns:a16="http://schemas.microsoft.com/office/drawing/2014/main" id="{00000000-0008-0000-0800-0000A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4" name="Text Box 280">
          <a:extLst>
            <a:ext uri="{FF2B5EF4-FFF2-40B4-BE49-F238E27FC236}">
              <a16:creationId xmlns:a16="http://schemas.microsoft.com/office/drawing/2014/main" id="{00000000-0008-0000-0800-0000A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5" name="Text Box 281">
          <a:extLst>
            <a:ext uri="{FF2B5EF4-FFF2-40B4-BE49-F238E27FC236}">
              <a16:creationId xmlns:a16="http://schemas.microsoft.com/office/drawing/2014/main" id="{00000000-0008-0000-0800-0000A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6" name="Text Box 282">
          <a:extLst>
            <a:ext uri="{FF2B5EF4-FFF2-40B4-BE49-F238E27FC236}">
              <a16:creationId xmlns:a16="http://schemas.microsoft.com/office/drawing/2014/main" id="{00000000-0008-0000-0800-0000A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7" name="Text Box 283">
          <a:extLst>
            <a:ext uri="{FF2B5EF4-FFF2-40B4-BE49-F238E27FC236}">
              <a16:creationId xmlns:a16="http://schemas.microsoft.com/office/drawing/2014/main" id="{00000000-0008-0000-0800-0000A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8" name="Text Box 284">
          <a:extLst>
            <a:ext uri="{FF2B5EF4-FFF2-40B4-BE49-F238E27FC236}">
              <a16:creationId xmlns:a16="http://schemas.microsoft.com/office/drawing/2014/main" id="{00000000-0008-0000-0800-0000A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9" name="Text Box 285">
          <a:extLst>
            <a:ext uri="{FF2B5EF4-FFF2-40B4-BE49-F238E27FC236}">
              <a16:creationId xmlns:a16="http://schemas.microsoft.com/office/drawing/2014/main" id="{00000000-0008-0000-0800-0000A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0" name="Text Box 286">
          <a:extLst>
            <a:ext uri="{FF2B5EF4-FFF2-40B4-BE49-F238E27FC236}">
              <a16:creationId xmlns:a16="http://schemas.microsoft.com/office/drawing/2014/main" id="{00000000-0008-0000-0800-0000A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1" name="Text Box 287">
          <a:extLst>
            <a:ext uri="{FF2B5EF4-FFF2-40B4-BE49-F238E27FC236}">
              <a16:creationId xmlns:a16="http://schemas.microsoft.com/office/drawing/2014/main" id="{00000000-0008-0000-0800-0000A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2" name="Text Box 288">
          <a:extLst>
            <a:ext uri="{FF2B5EF4-FFF2-40B4-BE49-F238E27FC236}">
              <a16:creationId xmlns:a16="http://schemas.microsoft.com/office/drawing/2014/main" id="{00000000-0008-0000-0800-0000A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3" name="Text Box 289">
          <a:extLst>
            <a:ext uri="{FF2B5EF4-FFF2-40B4-BE49-F238E27FC236}">
              <a16:creationId xmlns:a16="http://schemas.microsoft.com/office/drawing/2014/main" id="{00000000-0008-0000-0800-0000A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4" name="Text Box 290">
          <a:extLst>
            <a:ext uri="{FF2B5EF4-FFF2-40B4-BE49-F238E27FC236}">
              <a16:creationId xmlns:a16="http://schemas.microsoft.com/office/drawing/2014/main" id="{00000000-0008-0000-0800-0000A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5" name="Text Box 291">
          <a:extLst>
            <a:ext uri="{FF2B5EF4-FFF2-40B4-BE49-F238E27FC236}">
              <a16:creationId xmlns:a16="http://schemas.microsoft.com/office/drawing/2014/main" id="{00000000-0008-0000-0800-0000A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6" name="Text Box 292">
          <a:extLst>
            <a:ext uri="{FF2B5EF4-FFF2-40B4-BE49-F238E27FC236}">
              <a16:creationId xmlns:a16="http://schemas.microsoft.com/office/drawing/2014/main" id="{00000000-0008-0000-0800-0000B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7" name="Text Box 293">
          <a:extLst>
            <a:ext uri="{FF2B5EF4-FFF2-40B4-BE49-F238E27FC236}">
              <a16:creationId xmlns:a16="http://schemas.microsoft.com/office/drawing/2014/main" id="{00000000-0008-0000-0800-0000B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8" name="Text Box 294">
          <a:extLst>
            <a:ext uri="{FF2B5EF4-FFF2-40B4-BE49-F238E27FC236}">
              <a16:creationId xmlns:a16="http://schemas.microsoft.com/office/drawing/2014/main" id="{00000000-0008-0000-0800-0000B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9" name="Text Box 295">
          <a:extLst>
            <a:ext uri="{FF2B5EF4-FFF2-40B4-BE49-F238E27FC236}">
              <a16:creationId xmlns:a16="http://schemas.microsoft.com/office/drawing/2014/main" id="{00000000-0008-0000-0800-0000B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60" name="Text Box 296">
          <a:extLst>
            <a:ext uri="{FF2B5EF4-FFF2-40B4-BE49-F238E27FC236}">
              <a16:creationId xmlns:a16="http://schemas.microsoft.com/office/drawing/2014/main" id="{00000000-0008-0000-0800-0000B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1" name="Text Box 297">
          <a:extLst>
            <a:ext uri="{FF2B5EF4-FFF2-40B4-BE49-F238E27FC236}">
              <a16:creationId xmlns:a16="http://schemas.microsoft.com/office/drawing/2014/main" id="{00000000-0008-0000-0800-0000B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2" name="Text Box 298">
          <a:extLst>
            <a:ext uri="{FF2B5EF4-FFF2-40B4-BE49-F238E27FC236}">
              <a16:creationId xmlns:a16="http://schemas.microsoft.com/office/drawing/2014/main" id="{00000000-0008-0000-0800-0000B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3" name="Text Box 299">
          <a:extLst>
            <a:ext uri="{FF2B5EF4-FFF2-40B4-BE49-F238E27FC236}">
              <a16:creationId xmlns:a16="http://schemas.microsoft.com/office/drawing/2014/main" id="{00000000-0008-0000-0800-0000B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4" name="Text Box 300">
          <a:extLst>
            <a:ext uri="{FF2B5EF4-FFF2-40B4-BE49-F238E27FC236}">
              <a16:creationId xmlns:a16="http://schemas.microsoft.com/office/drawing/2014/main" id="{00000000-0008-0000-0800-0000B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5" name="Text Box 301">
          <a:extLst>
            <a:ext uri="{FF2B5EF4-FFF2-40B4-BE49-F238E27FC236}">
              <a16:creationId xmlns:a16="http://schemas.microsoft.com/office/drawing/2014/main" id="{00000000-0008-0000-0800-0000B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6" name="Text Box 302">
          <a:extLst>
            <a:ext uri="{FF2B5EF4-FFF2-40B4-BE49-F238E27FC236}">
              <a16:creationId xmlns:a16="http://schemas.microsoft.com/office/drawing/2014/main" id="{00000000-0008-0000-0800-0000B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7" name="Text Box 303">
          <a:extLst>
            <a:ext uri="{FF2B5EF4-FFF2-40B4-BE49-F238E27FC236}">
              <a16:creationId xmlns:a16="http://schemas.microsoft.com/office/drawing/2014/main" id="{00000000-0008-0000-0800-0000B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8" name="Text Box 304">
          <a:extLst>
            <a:ext uri="{FF2B5EF4-FFF2-40B4-BE49-F238E27FC236}">
              <a16:creationId xmlns:a16="http://schemas.microsoft.com/office/drawing/2014/main" id="{00000000-0008-0000-0800-0000B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9" name="Text Box 305">
          <a:extLst>
            <a:ext uri="{FF2B5EF4-FFF2-40B4-BE49-F238E27FC236}">
              <a16:creationId xmlns:a16="http://schemas.microsoft.com/office/drawing/2014/main" id="{00000000-0008-0000-0800-0000B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0" name="Text Box 306">
          <a:extLst>
            <a:ext uri="{FF2B5EF4-FFF2-40B4-BE49-F238E27FC236}">
              <a16:creationId xmlns:a16="http://schemas.microsoft.com/office/drawing/2014/main" id="{00000000-0008-0000-0800-0000B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1" name="Text Box 307">
          <a:extLst>
            <a:ext uri="{FF2B5EF4-FFF2-40B4-BE49-F238E27FC236}">
              <a16:creationId xmlns:a16="http://schemas.microsoft.com/office/drawing/2014/main" id="{00000000-0008-0000-0800-0000B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2" name="Text Box 308">
          <a:extLst>
            <a:ext uri="{FF2B5EF4-FFF2-40B4-BE49-F238E27FC236}">
              <a16:creationId xmlns:a16="http://schemas.microsoft.com/office/drawing/2014/main" id="{00000000-0008-0000-0800-0000C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3" name="Text Box 309">
          <a:extLst>
            <a:ext uri="{FF2B5EF4-FFF2-40B4-BE49-F238E27FC236}">
              <a16:creationId xmlns:a16="http://schemas.microsoft.com/office/drawing/2014/main" id="{00000000-0008-0000-0800-0000C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4" name="Text Box 310">
          <a:extLst>
            <a:ext uri="{FF2B5EF4-FFF2-40B4-BE49-F238E27FC236}">
              <a16:creationId xmlns:a16="http://schemas.microsoft.com/office/drawing/2014/main" id="{00000000-0008-0000-0800-0000C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5" name="Text Box 311">
          <a:extLst>
            <a:ext uri="{FF2B5EF4-FFF2-40B4-BE49-F238E27FC236}">
              <a16:creationId xmlns:a16="http://schemas.microsoft.com/office/drawing/2014/main" id="{00000000-0008-0000-0800-0000C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6" name="Text Box 312">
          <a:extLst>
            <a:ext uri="{FF2B5EF4-FFF2-40B4-BE49-F238E27FC236}">
              <a16:creationId xmlns:a16="http://schemas.microsoft.com/office/drawing/2014/main" id="{00000000-0008-0000-0800-0000C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7" name="Text Box 313">
          <a:extLst>
            <a:ext uri="{FF2B5EF4-FFF2-40B4-BE49-F238E27FC236}">
              <a16:creationId xmlns:a16="http://schemas.microsoft.com/office/drawing/2014/main" id="{00000000-0008-0000-0800-0000C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8" name="Text Box 314">
          <a:extLst>
            <a:ext uri="{FF2B5EF4-FFF2-40B4-BE49-F238E27FC236}">
              <a16:creationId xmlns:a16="http://schemas.microsoft.com/office/drawing/2014/main" id="{00000000-0008-0000-0800-0000C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9" name="Text Box 315">
          <a:extLst>
            <a:ext uri="{FF2B5EF4-FFF2-40B4-BE49-F238E27FC236}">
              <a16:creationId xmlns:a16="http://schemas.microsoft.com/office/drawing/2014/main" id="{00000000-0008-0000-0800-0000C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0" name="Text Box 316">
          <a:extLst>
            <a:ext uri="{FF2B5EF4-FFF2-40B4-BE49-F238E27FC236}">
              <a16:creationId xmlns:a16="http://schemas.microsoft.com/office/drawing/2014/main" id="{00000000-0008-0000-0800-0000C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1" name="Text Box 317">
          <a:extLst>
            <a:ext uri="{FF2B5EF4-FFF2-40B4-BE49-F238E27FC236}">
              <a16:creationId xmlns:a16="http://schemas.microsoft.com/office/drawing/2014/main" id="{00000000-0008-0000-0800-0000C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2" name="Text Box 318">
          <a:extLst>
            <a:ext uri="{FF2B5EF4-FFF2-40B4-BE49-F238E27FC236}">
              <a16:creationId xmlns:a16="http://schemas.microsoft.com/office/drawing/2014/main" id="{00000000-0008-0000-0800-0000C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3" name="Text Box 319">
          <a:extLst>
            <a:ext uri="{FF2B5EF4-FFF2-40B4-BE49-F238E27FC236}">
              <a16:creationId xmlns:a16="http://schemas.microsoft.com/office/drawing/2014/main" id="{00000000-0008-0000-0800-0000C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4" name="Text Box 320">
          <a:extLst>
            <a:ext uri="{FF2B5EF4-FFF2-40B4-BE49-F238E27FC236}">
              <a16:creationId xmlns:a16="http://schemas.microsoft.com/office/drawing/2014/main" id="{00000000-0008-0000-0800-0000C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5" name="Text Box 28">
          <a:extLst>
            <a:ext uri="{FF2B5EF4-FFF2-40B4-BE49-F238E27FC236}">
              <a16:creationId xmlns:a16="http://schemas.microsoft.com/office/drawing/2014/main" id="{00000000-0008-0000-0800-0000C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6" name="Text Box 29">
          <a:extLst>
            <a:ext uri="{FF2B5EF4-FFF2-40B4-BE49-F238E27FC236}">
              <a16:creationId xmlns:a16="http://schemas.microsoft.com/office/drawing/2014/main" id="{00000000-0008-0000-0800-0000C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7" name="Text Box 30">
          <a:extLst>
            <a:ext uri="{FF2B5EF4-FFF2-40B4-BE49-F238E27FC236}">
              <a16:creationId xmlns:a16="http://schemas.microsoft.com/office/drawing/2014/main" id="{00000000-0008-0000-0800-0000C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8" name="Text Box 31">
          <a:extLst>
            <a:ext uri="{FF2B5EF4-FFF2-40B4-BE49-F238E27FC236}">
              <a16:creationId xmlns:a16="http://schemas.microsoft.com/office/drawing/2014/main" id="{00000000-0008-0000-0800-0000D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9" name="Text Box 32">
          <a:extLst>
            <a:ext uri="{FF2B5EF4-FFF2-40B4-BE49-F238E27FC236}">
              <a16:creationId xmlns:a16="http://schemas.microsoft.com/office/drawing/2014/main" id="{00000000-0008-0000-0800-0000D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0" name="Text Box 33">
          <a:extLst>
            <a:ext uri="{FF2B5EF4-FFF2-40B4-BE49-F238E27FC236}">
              <a16:creationId xmlns:a16="http://schemas.microsoft.com/office/drawing/2014/main" id="{00000000-0008-0000-0800-0000D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1" name="Text Box 34">
          <a:extLst>
            <a:ext uri="{FF2B5EF4-FFF2-40B4-BE49-F238E27FC236}">
              <a16:creationId xmlns:a16="http://schemas.microsoft.com/office/drawing/2014/main" id="{00000000-0008-0000-0800-0000D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2" name="Text Box 35">
          <a:extLst>
            <a:ext uri="{FF2B5EF4-FFF2-40B4-BE49-F238E27FC236}">
              <a16:creationId xmlns:a16="http://schemas.microsoft.com/office/drawing/2014/main" id="{00000000-0008-0000-0800-0000D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3" name="Text Box 36">
          <a:extLst>
            <a:ext uri="{FF2B5EF4-FFF2-40B4-BE49-F238E27FC236}">
              <a16:creationId xmlns:a16="http://schemas.microsoft.com/office/drawing/2014/main" id="{00000000-0008-0000-0800-0000D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4" name="Text Box 37">
          <a:extLst>
            <a:ext uri="{FF2B5EF4-FFF2-40B4-BE49-F238E27FC236}">
              <a16:creationId xmlns:a16="http://schemas.microsoft.com/office/drawing/2014/main" id="{00000000-0008-0000-0800-0000D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5" name="Text Box 38">
          <a:extLst>
            <a:ext uri="{FF2B5EF4-FFF2-40B4-BE49-F238E27FC236}">
              <a16:creationId xmlns:a16="http://schemas.microsoft.com/office/drawing/2014/main" id="{00000000-0008-0000-0800-0000D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6" name="Text Box 39">
          <a:extLst>
            <a:ext uri="{FF2B5EF4-FFF2-40B4-BE49-F238E27FC236}">
              <a16:creationId xmlns:a16="http://schemas.microsoft.com/office/drawing/2014/main" id="{00000000-0008-0000-0800-0000D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7" name="Text Box 40">
          <a:extLst>
            <a:ext uri="{FF2B5EF4-FFF2-40B4-BE49-F238E27FC236}">
              <a16:creationId xmlns:a16="http://schemas.microsoft.com/office/drawing/2014/main" id="{00000000-0008-0000-0800-0000D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8" name="Text Box 41">
          <a:extLst>
            <a:ext uri="{FF2B5EF4-FFF2-40B4-BE49-F238E27FC236}">
              <a16:creationId xmlns:a16="http://schemas.microsoft.com/office/drawing/2014/main" id="{00000000-0008-0000-0800-0000D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9" name="Text Box 42">
          <a:extLst>
            <a:ext uri="{FF2B5EF4-FFF2-40B4-BE49-F238E27FC236}">
              <a16:creationId xmlns:a16="http://schemas.microsoft.com/office/drawing/2014/main" id="{00000000-0008-0000-0800-0000D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0" name="Text Box 43">
          <a:extLst>
            <a:ext uri="{FF2B5EF4-FFF2-40B4-BE49-F238E27FC236}">
              <a16:creationId xmlns:a16="http://schemas.microsoft.com/office/drawing/2014/main" id="{00000000-0008-0000-0800-0000D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1" name="Text Box 44">
          <a:extLst>
            <a:ext uri="{FF2B5EF4-FFF2-40B4-BE49-F238E27FC236}">
              <a16:creationId xmlns:a16="http://schemas.microsoft.com/office/drawing/2014/main" id="{00000000-0008-0000-0800-0000D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2" name="Text Box 45">
          <a:extLst>
            <a:ext uri="{FF2B5EF4-FFF2-40B4-BE49-F238E27FC236}">
              <a16:creationId xmlns:a16="http://schemas.microsoft.com/office/drawing/2014/main" id="{00000000-0008-0000-0800-0000D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3" name="Text Box 46">
          <a:extLst>
            <a:ext uri="{FF2B5EF4-FFF2-40B4-BE49-F238E27FC236}">
              <a16:creationId xmlns:a16="http://schemas.microsoft.com/office/drawing/2014/main" id="{00000000-0008-0000-0800-0000D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4" name="Text Box 47">
          <a:extLst>
            <a:ext uri="{FF2B5EF4-FFF2-40B4-BE49-F238E27FC236}">
              <a16:creationId xmlns:a16="http://schemas.microsoft.com/office/drawing/2014/main" id="{00000000-0008-0000-0800-0000E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5" name="Text Box 48">
          <a:extLst>
            <a:ext uri="{FF2B5EF4-FFF2-40B4-BE49-F238E27FC236}">
              <a16:creationId xmlns:a16="http://schemas.microsoft.com/office/drawing/2014/main" id="{00000000-0008-0000-0800-0000E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6" name="Text Box 49">
          <a:extLst>
            <a:ext uri="{FF2B5EF4-FFF2-40B4-BE49-F238E27FC236}">
              <a16:creationId xmlns:a16="http://schemas.microsoft.com/office/drawing/2014/main" id="{00000000-0008-0000-0800-0000E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7" name="Text Box 50">
          <a:extLst>
            <a:ext uri="{FF2B5EF4-FFF2-40B4-BE49-F238E27FC236}">
              <a16:creationId xmlns:a16="http://schemas.microsoft.com/office/drawing/2014/main" id="{00000000-0008-0000-0800-0000E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8" name="Text Box 51">
          <a:extLst>
            <a:ext uri="{FF2B5EF4-FFF2-40B4-BE49-F238E27FC236}">
              <a16:creationId xmlns:a16="http://schemas.microsoft.com/office/drawing/2014/main" id="{00000000-0008-0000-0800-0000E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9" name="Text Box 52">
          <a:extLst>
            <a:ext uri="{FF2B5EF4-FFF2-40B4-BE49-F238E27FC236}">
              <a16:creationId xmlns:a16="http://schemas.microsoft.com/office/drawing/2014/main" id="{00000000-0008-0000-0800-0000E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0" name="Text Box 53">
          <a:extLst>
            <a:ext uri="{FF2B5EF4-FFF2-40B4-BE49-F238E27FC236}">
              <a16:creationId xmlns:a16="http://schemas.microsoft.com/office/drawing/2014/main" id="{00000000-0008-0000-0800-0000E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1" name="Text Box 54">
          <a:extLst>
            <a:ext uri="{FF2B5EF4-FFF2-40B4-BE49-F238E27FC236}">
              <a16:creationId xmlns:a16="http://schemas.microsoft.com/office/drawing/2014/main" id="{00000000-0008-0000-0800-0000E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2" name="Text Box 55">
          <a:extLst>
            <a:ext uri="{FF2B5EF4-FFF2-40B4-BE49-F238E27FC236}">
              <a16:creationId xmlns:a16="http://schemas.microsoft.com/office/drawing/2014/main" id="{00000000-0008-0000-0800-0000E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3" name="Text Box 56">
          <a:extLst>
            <a:ext uri="{FF2B5EF4-FFF2-40B4-BE49-F238E27FC236}">
              <a16:creationId xmlns:a16="http://schemas.microsoft.com/office/drawing/2014/main" id="{00000000-0008-0000-0800-0000E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4" name="Text Box 57">
          <a:extLst>
            <a:ext uri="{FF2B5EF4-FFF2-40B4-BE49-F238E27FC236}">
              <a16:creationId xmlns:a16="http://schemas.microsoft.com/office/drawing/2014/main" id="{00000000-0008-0000-0800-0000E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5" name="Text Box 58">
          <a:extLst>
            <a:ext uri="{FF2B5EF4-FFF2-40B4-BE49-F238E27FC236}">
              <a16:creationId xmlns:a16="http://schemas.microsoft.com/office/drawing/2014/main" id="{00000000-0008-0000-0800-0000E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6" name="Text Box 59">
          <a:extLst>
            <a:ext uri="{FF2B5EF4-FFF2-40B4-BE49-F238E27FC236}">
              <a16:creationId xmlns:a16="http://schemas.microsoft.com/office/drawing/2014/main" id="{00000000-0008-0000-0800-0000E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7" name="Text Box 60">
          <a:extLst>
            <a:ext uri="{FF2B5EF4-FFF2-40B4-BE49-F238E27FC236}">
              <a16:creationId xmlns:a16="http://schemas.microsoft.com/office/drawing/2014/main" id="{00000000-0008-0000-0800-0000E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8" name="Text Box 61">
          <a:extLst>
            <a:ext uri="{FF2B5EF4-FFF2-40B4-BE49-F238E27FC236}">
              <a16:creationId xmlns:a16="http://schemas.microsoft.com/office/drawing/2014/main" id="{00000000-0008-0000-0800-0000E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9" name="Text Box 62">
          <a:extLst>
            <a:ext uri="{FF2B5EF4-FFF2-40B4-BE49-F238E27FC236}">
              <a16:creationId xmlns:a16="http://schemas.microsoft.com/office/drawing/2014/main" id="{00000000-0008-0000-0800-0000E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0" name="Text Box 63">
          <a:extLst>
            <a:ext uri="{FF2B5EF4-FFF2-40B4-BE49-F238E27FC236}">
              <a16:creationId xmlns:a16="http://schemas.microsoft.com/office/drawing/2014/main" id="{00000000-0008-0000-0800-0000F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1" name="Text Box 64">
          <a:extLst>
            <a:ext uri="{FF2B5EF4-FFF2-40B4-BE49-F238E27FC236}">
              <a16:creationId xmlns:a16="http://schemas.microsoft.com/office/drawing/2014/main" id="{00000000-0008-0000-0800-0000F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2" name="Text Box 65">
          <a:extLst>
            <a:ext uri="{FF2B5EF4-FFF2-40B4-BE49-F238E27FC236}">
              <a16:creationId xmlns:a16="http://schemas.microsoft.com/office/drawing/2014/main" id="{00000000-0008-0000-0800-0000F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3" name="Text Box 66">
          <a:extLst>
            <a:ext uri="{FF2B5EF4-FFF2-40B4-BE49-F238E27FC236}">
              <a16:creationId xmlns:a16="http://schemas.microsoft.com/office/drawing/2014/main" id="{00000000-0008-0000-0800-0000F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4" name="Text Box 67">
          <a:extLst>
            <a:ext uri="{FF2B5EF4-FFF2-40B4-BE49-F238E27FC236}">
              <a16:creationId xmlns:a16="http://schemas.microsoft.com/office/drawing/2014/main" id="{00000000-0008-0000-0800-0000F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5" name="Text Box 68">
          <a:extLst>
            <a:ext uri="{FF2B5EF4-FFF2-40B4-BE49-F238E27FC236}">
              <a16:creationId xmlns:a16="http://schemas.microsoft.com/office/drawing/2014/main" id="{00000000-0008-0000-0800-0000F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6" name="Text Box 69">
          <a:extLst>
            <a:ext uri="{FF2B5EF4-FFF2-40B4-BE49-F238E27FC236}">
              <a16:creationId xmlns:a16="http://schemas.microsoft.com/office/drawing/2014/main" id="{00000000-0008-0000-0800-0000F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7" name="Text Box 70">
          <a:extLst>
            <a:ext uri="{FF2B5EF4-FFF2-40B4-BE49-F238E27FC236}">
              <a16:creationId xmlns:a16="http://schemas.microsoft.com/office/drawing/2014/main" id="{00000000-0008-0000-0800-0000F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8" name="Text Box 71">
          <a:extLst>
            <a:ext uri="{FF2B5EF4-FFF2-40B4-BE49-F238E27FC236}">
              <a16:creationId xmlns:a16="http://schemas.microsoft.com/office/drawing/2014/main" id="{00000000-0008-0000-0800-0000F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9" name="Text Box 72">
          <a:extLst>
            <a:ext uri="{FF2B5EF4-FFF2-40B4-BE49-F238E27FC236}">
              <a16:creationId xmlns:a16="http://schemas.microsoft.com/office/drawing/2014/main" id="{00000000-0008-0000-0800-0000F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0" name="Text Box 73">
          <a:extLst>
            <a:ext uri="{FF2B5EF4-FFF2-40B4-BE49-F238E27FC236}">
              <a16:creationId xmlns:a16="http://schemas.microsoft.com/office/drawing/2014/main" id="{00000000-0008-0000-0800-0000F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1" name="Text Box 74">
          <a:extLst>
            <a:ext uri="{FF2B5EF4-FFF2-40B4-BE49-F238E27FC236}">
              <a16:creationId xmlns:a16="http://schemas.microsoft.com/office/drawing/2014/main" id="{00000000-0008-0000-0800-0000F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2" name="Text Box 75">
          <a:extLst>
            <a:ext uri="{FF2B5EF4-FFF2-40B4-BE49-F238E27FC236}">
              <a16:creationId xmlns:a16="http://schemas.microsoft.com/office/drawing/2014/main" id="{00000000-0008-0000-0800-0000F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3" name="Text Box 76">
          <a:extLst>
            <a:ext uri="{FF2B5EF4-FFF2-40B4-BE49-F238E27FC236}">
              <a16:creationId xmlns:a16="http://schemas.microsoft.com/office/drawing/2014/main" id="{00000000-0008-0000-0800-0000F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4" name="Text Box 77">
          <a:extLst>
            <a:ext uri="{FF2B5EF4-FFF2-40B4-BE49-F238E27FC236}">
              <a16:creationId xmlns:a16="http://schemas.microsoft.com/office/drawing/2014/main" id="{00000000-0008-0000-0800-0000F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5" name="Text Box 78">
          <a:extLst>
            <a:ext uri="{FF2B5EF4-FFF2-40B4-BE49-F238E27FC236}">
              <a16:creationId xmlns:a16="http://schemas.microsoft.com/office/drawing/2014/main" id="{00000000-0008-0000-0800-0000F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6" name="Text Box 79">
          <a:extLst>
            <a:ext uri="{FF2B5EF4-FFF2-40B4-BE49-F238E27FC236}">
              <a16:creationId xmlns:a16="http://schemas.microsoft.com/office/drawing/2014/main" id="{00000000-0008-0000-0800-00000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7" name="Text Box 80">
          <a:extLst>
            <a:ext uri="{FF2B5EF4-FFF2-40B4-BE49-F238E27FC236}">
              <a16:creationId xmlns:a16="http://schemas.microsoft.com/office/drawing/2014/main" id="{00000000-0008-0000-0800-00000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8" name="Text Box 81">
          <a:extLst>
            <a:ext uri="{FF2B5EF4-FFF2-40B4-BE49-F238E27FC236}">
              <a16:creationId xmlns:a16="http://schemas.microsoft.com/office/drawing/2014/main" id="{00000000-0008-0000-0800-00000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9" name="Text Box 82">
          <a:extLst>
            <a:ext uri="{FF2B5EF4-FFF2-40B4-BE49-F238E27FC236}">
              <a16:creationId xmlns:a16="http://schemas.microsoft.com/office/drawing/2014/main" id="{00000000-0008-0000-0800-00000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0" name="Text Box 83">
          <a:extLst>
            <a:ext uri="{FF2B5EF4-FFF2-40B4-BE49-F238E27FC236}">
              <a16:creationId xmlns:a16="http://schemas.microsoft.com/office/drawing/2014/main" id="{00000000-0008-0000-0800-00000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1" name="Text Box 84">
          <a:extLst>
            <a:ext uri="{FF2B5EF4-FFF2-40B4-BE49-F238E27FC236}">
              <a16:creationId xmlns:a16="http://schemas.microsoft.com/office/drawing/2014/main" id="{00000000-0008-0000-0800-00000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2" name="Text Box 85">
          <a:extLst>
            <a:ext uri="{FF2B5EF4-FFF2-40B4-BE49-F238E27FC236}">
              <a16:creationId xmlns:a16="http://schemas.microsoft.com/office/drawing/2014/main" id="{00000000-0008-0000-0800-00000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3" name="Text Box 86">
          <a:extLst>
            <a:ext uri="{FF2B5EF4-FFF2-40B4-BE49-F238E27FC236}">
              <a16:creationId xmlns:a16="http://schemas.microsoft.com/office/drawing/2014/main" id="{00000000-0008-0000-0800-00000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4" name="Text Box 87">
          <a:extLst>
            <a:ext uri="{FF2B5EF4-FFF2-40B4-BE49-F238E27FC236}">
              <a16:creationId xmlns:a16="http://schemas.microsoft.com/office/drawing/2014/main" id="{00000000-0008-0000-0800-00000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5" name="Text Box 88">
          <a:extLst>
            <a:ext uri="{FF2B5EF4-FFF2-40B4-BE49-F238E27FC236}">
              <a16:creationId xmlns:a16="http://schemas.microsoft.com/office/drawing/2014/main" id="{00000000-0008-0000-0800-00000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6" name="Text Box 89">
          <a:extLst>
            <a:ext uri="{FF2B5EF4-FFF2-40B4-BE49-F238E27FC236}">
              <a16:creationId xmlns:a16="http://schemas.microsoft.com/office/drawing/2014/main" id="{00000000-0008-0000-0800-00000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7" name="Text Box 90">
          <a:extLst>
            <a:ext uri="{FF2B5EF4-FFF2-40B4-BE49-F238E27FC236}">
              <a16:creationId xmlns:a16="http://schemas.microsoft.com/office/drawing/2014/main" id="{00000000-0008-0000-0800-00000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8" name="Text Box 91">
          <a:extLst>
            <a:ext uri="{FF2B5EF4-FFF2-40B4-BE49-F238E27FC236}">
              <a16:creationId xmlns:a16="http://schemas.microsoft.com/office/drawing/2014/main" id="{00000000-0008-0000-0800-00000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9" name="Text Box 92">
          <a:extLst>
            <a:ext uri="{FF2B5EF4-FFF2-40B4-BE49-F238E27FC236}">
              <a16:creationId xmlns:a16="http://schemas.microsoft.com/office/drawing/2014/main" id="{00000000-0008-0000-0800-00000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0" name="Text Box 93">
          <a:extLst>
            <a:ext uri="{FF2B5EF4-FFF2-40B4-BE49-F238E27FC236}">
              <a16:creationId xmlns:a16="http://schemas.microsoft.com/office/drawing/2014/main" id="{00000000-0008-0000-0800-00000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1" name="Text Box 94">
          <a:extLst>
            <a:ext uri="{FF2B5EF4-FFF2-40B4-BE49-F238E27FC236}">
              <a16:creationId xmlns:a16="http://schemas.microsoft.com/office/drawing/2014/main" id="{00000000-0008-0000-0800-00000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2" name="Text Box 95">
          <a:extLst>
            <a:ext uri="{FF2B5EF4-FFF2-40B4-BE49-F238E27FC236}">
              <a16:creationId xmlns:a16="http://schemas.microsoft.com/office/drawing/2014/main" id="{00000000-0008-0000-0800-00001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3" name="Text Box 96">
          <a:extLst>
            <a:ext uri="{FF2B5EF4-FFF2-40B4-BE49-F238E27FC236}">
              <a16:creationId xmlns:a16="http://schemas.microsoft.com/office/drawing/2014/main" id="{00000000-0008-0000-0800-00001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4" name="Text Box 97">
          <a:extLst>
            <a:ext uri="{FF2B5EF4-FFF2-40B4-BE49-F238E27FC236}">
              <a16:creationId xmlns:a16="http://schemas.microsoft.com/office/drawing/2014/main" id="{00000000-0008-0000-0800-00001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5" name="Text Box 100">
          <a:extLst>
            <a:ext uri="{FF2B5EF4-FFF2-40B4-BE49-F238E27FC236}">
              <a16:creationId xmlns:a16="http://schemas.microsoft.com/office/drawing/2014/main" id="{00000000-0008-0000-0800-00001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6" name="Text Box 101">
          <a:extLst>
            <a:ext uri="{FF2B5EF4-FFF2-40B4-BE49-F238E27FC236}">
              <a16:creationId xmlns:a16="http://schemas.microsoft.com/office/drawing/2014/main" id="{00000000-0008-0000-0800-00001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7" name="Text Box 102">
          <a:extLst>
            <a:ext uri="{FF2B5EF4-FFF2-40B4-BE49-F238E27FC236}">
              <a16:creationId xmlns:a16="http://schemas.microsoft.com/office/drawing/2014/main" id="{00000000-0008-0000-0800-00001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8" name="Text Box 103">
          <a:extLst>
            <a:ext uri="{FF2B5EF4-FFF2-40B4-BE49-F238E27FC236}">
              <a16:creationId xmlns:a16="http://schemas.microsoft.com/office/drawing/2014/main" id="{00000000-0008-0000-0800-00001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9" name="Text Box 104">
          <a:extLst>
            <a:ext uri="{FF2B5EF4-FFF2-40B4-BE49-F238E27FC236}">
              <a16:creationId xmlns:a16="http://schemas.microsoft.com/office/drawing/2014/main" id="{00000000-0008-0000-0800-00001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0" name="Text Box 105">
          <a:extLst>
            <a:ext uri="{FF2B5EF4-FFF2-40B4-BE49-F238E27FC236}">
              <a16:creationId xmlns:a16="http://schemas.microsoft.com/office/drawing/2014/main" id="{00000000-0008-0000-0800-00001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1" name="Text Box 106">
          <a:extLst>
            <a:ext uri="{FF2B5EF4-FFF2-40B4-BE49-F238E27FC236}">
              <a16:creationId xmlns:a16="http://schemas.microsoft.com/office/drawing/2014/main" id="{00000000-0008-0000-0800-00001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2" name="Text Box 107">
          <a:extLst>
            <a:ext uri="{FF2B5EF4-FFF2-40B4-BE49-F238E27FC236}">
              <a16:creationId xmlns:a16="http://schemas.microsoft.com/office/drawing/2014/main" id="{00000000-0008-0000-0800-00001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3" name="Text Box 108">
          <a:extLst>
            <a:ext uri="{FF2B5EF4-FFF2-40B4-BE49-F238E27FC236}">
              <a16:creationId xmlns:a16="http://schemas.microsoft.com/office/drawing/2014/main" id="{00000000-0008-0000-0800-00001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4" name="Text Box 109">
          <a:extLst>
            <a:ext uri="{FF2B5EF4-FFF2-40B4-BE49-F238E27FC236}">
              <a16:creationId xmlns:a16="http://schemas.microsoft.com/office/drawing/2014/main" id="{00000000-0008-0000-0800-00001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5" name="Text Box 110">
          <a:extLst>
            <a:ext uri="{FF2B5EF4-FFF2-40B4-BE49-F238E27FC236}">
              <a16:creationId xmlns:a16="http://schemas.microsoft.com/office/drawing/2014/main" id="{00000000-0008-0000-0800-00001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6" name="Text Box 111">
          <a:extLst>
            <a:ext uri="{FF2B5EF4-FFF2-40B4-BE49-F238E27FC236}">
              <a16:creationId xmlns:a16="http://schemas.microsoft.com/office/drawing/2014/main" id="{00000000-0008-0000-0800-00001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7" name="Text Box 119">
          <a:extLst>
            <a:ext uri="{FF2B5EF4-FFF2-40B4-BE49-F238E27FC236}">
              <a16:creationId xmlns:a16="http://schemas.microsoft.com/office/drawing/2014/main" id="{00000000-0008-0000-0800-00001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8" name="Text Box 120">
          <a:extLst>
            <a:ext uri="{FF2B5EF4-FFF2-40B4-BE49-F238E27FC236}">
              <a16:creationId xmlns:a16="http://schemas.microsoft.com/office/drawing/2014/main" id="{00000000-0008-0000-0800-00002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9" name="Text Box 121">
          <a:extLst>
            <a:ext uri="{FF2B5EF4-FFF2-40B4-BE49-F238E27FC236}">
              <a16:creationId xmlns:a16="http://schemas.microsoft.com/office/drawing/2014/main" id="{00000000-0008-0000-0800-00002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0" name="Text Box 122">
          <a:extLst>
            <a:ext uri="{FF2B5EF4-FFF2-40B4-BE49-F238E27FC236}">
              <a16:creationId xmlns:a16="http://schemas.microsoft.com/office/drawing/2014/main" id="{00000000-0008-0000-0800-00002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1" name="Text Box 123">
          <a:extLst>
            <a:ext uri="{FF2B5EF4-FFF2-40B4-BE49-F238E27FC236}">
              <a16:creationId xmlns:a16="http://schemas.microsoft.com/office/drawing/2014/main" id="{00000000-0008-0000-0800-00002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2" name="Text Box 124">
          <a:extLst>
            <a:ext uri="{FF2B5EF4-FFF2-40B4-BE49-F238E27FC236}">
              <a16:creationId xmlns:a16="http://schemas.microsoft.com/office/drawing/2014/main" id="{00000000-0008-0000-0800-00002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3" name="Text Box 125">
          <a:extLst>
            <a:ext uri="{FF2B5EF4-FFF2-40B4-BE49-F238E27FC236}">
              <a16:creationId xmlns:a16="http://schemas.microsoft.com/office/drawing/2014/main" id="{00000000-0008-0000-0800-00002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4" name="Text Box 126">
          <a:extLst>
            <a:ext uri="{FF2B5EF4-FFF2-40B4-BE49-F238E27FC236}">
              <a16:creationId xmlns:a16="http://schemas.microsoft.com/office/drawing/2014/main" id="{00000000-0008-0000-0800-00002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5" name="Text Box 127">
          <a:extLst>
            <a:ext uri="{FF2B5EF4-FFF2-40B4-BE49-F238E27FC236}">
              <a16:creationId xmlns:a16="http://schemas.microsoft.com/office/drawing/2014/main" id="{00000000-0008-0000-0800-00002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6" name="Text Box 128">
          <a:extLst>
            <a:ext uri="{FF2B5EF4-FFF2-40B4-BE49-F238E27FC236}">
              <a16:creationId xmlns:a16="http://schemas.microsoft.com/office/drawing/2014/main" id="{00000000-0008-0000-0800-00002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7" name="Text Box 129">
          <a:extLst>
            <a:ext uri="{FF2B5EF4-FFF2-40B4-BE49-F238E27FC236}">
              <a16:creationId xmlns:a16="http://schemas.microsoft.com/office/drawing/2014/main" id="{00000000-0008-0000-0800-00002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8" name="Text Box 130">
          <a:extLst>
            <a:ext uri="{FF2B5EF4-FFF2-40B4-BE49-F238E27FC236}">
              <a16:creationId xmlns:a16="http://schemas.microsoft.com/office/drawing/2014/main" id="{00000000-0008-0000-0800-00002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79" name="Text Box 133">
          <a:extLst>
            <a:ext uri="{FF2B5EF4-FFF2-40B4-BE49-F238E27FC236}">
              <a16:creationId xmlns:a16="http://schemas.microsoft.com/office/drawing/2014/main" id="{00000000-0008-0000-0800-00002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0" name="Text Box 134">
          <a:extLst>
            <a:ext uri="{FF2B5EF4-FFF2-40B4-BE49-F238E27FC236}">
              <a16:creationId xmlns:a16="http://schemas.microsoft.com/office/drawing/2014/main" id="{00000000-0008-0000-0800-00002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1" name="Text Box 135">
          <a:extLst>
            <a:ext uri="{FF2B5EF4-FFF2-40B4-BE49-F238E27FC236}">
              <a16:creationId xmlns:a16="http://schemas.microsoft.com/office/drawing/2014/main" id="{00000000-0008-0000-0800-00002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2" name="Text Box 136">
          <a:extLst>
            <a:ext uri="{FF2B5EF4-FFF2-40B4-BE49-F238E27FC236}">
              <a16:creationId xmlns:a16="http://schemas.microsoft.com/office/drawing/2014/main" id="{00000000-0008-0000-0800-00002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3" name="Text Box 137">
          <a:extLst>
            <a:ext uri="{FF2B5EF4-FFF2-40B4-BE49-F238E27FC236}">
              <a16:creationId xmlns:a16="http://schemas.microsoft.com/office/drawing/2014/main" id="{00000000-0008-0000-0800-00002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4" name="Text Box 138">
          <a:extLst>
            <a:ext uri="{FF2B5EF4-FFF2-40B4-BE49-F238E27FC236}">
              <a16:creationId xmlns:a16="http://schemas.microsoft.com/office/drawing/2014/main" id="{00000000-0008-0000-0800-00003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5" name="Text Box 139">
          <a:extLst>
            <a:ext uri="{FF2B5EF4-FFF2-40B4-BE49-F238E27FC236}">
              <a16:creationId xmlns:a16="http://schemas.microsoft.com/office/drawing/2014/main" id="{00000000-0008-0000-0800-00003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6" name="Text Box 140">
          <a:extLst>
            <a:ext uri="{FF2B5EF4-FFF2-40B4-BE49-F238E27FC236}">
              <a16:creationId xmlns:a16="http://schemas.microsoft.com/office/drawing/2014/main" id="{00000000-0008-0000-0800-00003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7" name="Text Box 141">
          <a:extLst>
            <a:ext uri="{FF2B5EF4-FFF2-40B4-BE49-F238E27FC236}">
              <a16:creationId xmlns:a16="http://schemas.microsoft.com/office/drawing/2014/main" id="{00000000-0008-0000-0800-00003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8" name="Text Box 142">
          <a:extLst>
            <a:ext uri="{FF2B5EF4-FFF2-40B4-BE49-F238E27FC236}">
              <a16:creationId xmlns:a16="http://schemas.microsoft.com/office/drawing/2014/main" id="{00000000-0008-0000-0800-00003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9" name="Text Box 143">
          <a:extLst>
            <a:ext uri="{FF2B5EF4-FFF2-40B4-BE49-F238E27FC236}">
              <a16:creationId xmlns:a16="http://schemas.microsoft.com/office/drawing/2014/main" id="{00000000-0008-0000-0800-00003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0" name="Text Box 144">
          <a:extLst>
            <a:ext uri="{FF2B5EF4-FFF2-40B4-BE49-F238E27FC236}">
              <a16:creationId xmlns:a16="http://schemas.microsoft.com/office/drawing/2014/main" id="{00000000-0008-0000-0800-00003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1" name="Text Box 145">
          <a:extLst>
            <a:ext uri="{FF2B5EF4-FFF2-40B4-BE49-F238E27FC236}">
              <a16:creationId xmlns:a16="http://schemas.microsoft.com/office/drawing/2014/main" id="{00000000-0008-0000-0800-00003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2" name="Text Box 146">
          <a:extLst>
            <a:ext uri="{FF2B5EF4-FFF2-40B4-BE49-F238E27FC236}">
              <a16:creationId xmlns:a16="http://schemas.microsoft.com/office/drawing/2014/main" id="{00000000-0008-0000-0800-00003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3" name="Text Box 147">
          <a:extLst>
            <a:ext uri="{FF2B5EF4-FFF2-40B4-BE49-F238E27FC236}">
              <a16:creationId xmlns:a16="http://schemas.microsoft.com/office/drawing/2014/main" id="{00000000-0008-0000-0800-00003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4" name="Text Box 148">
          <a:extLst>
            <a:ext uri="{FF2B5EF4-FFF2-40B4-BE49-F238E27FC236}">
              <a16:creationId xmlns:a16="http://schemas.microsoft.com/office/drawing/2014/main" id="{00000000-0008-0000-0800-00003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5" name="Text Box 149">
          <a:extLst>
            <a:ext uri="{FF2B5EF4-FFF2-40B4-BE49-F238E27FC236}">
              <a16:creationId xmlns:a16="http://schemas.microsoft.com/office/drawing/2014/main" id="{00000000-0008-0000-0800-00003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6" name="Text Box 150">
          <a:extLst>
            <a:ext uri="{FF2B5EF4-FFF2-40B4-BE49-F238E27FC236}">
              <a16:creationId xmlns:a16="http://schemas.microsoft.com/office/drawing/2014/main" id="{00000000-0008-0000-0800-00003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7" name="Text Box 151">
          <a:extLst>
            <a:ext uri="{FF2B5EF4-FFF2-40B4-BE49-F238E27FC236}">
              <a16:creationId xmlns:a16="http://schemas.microsoft.com/office/drawing/2014/main" id="{00000000-0008-0000-0800-00003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8" name="Text Box 152">
          <a:extLst>
            <a:ext uri="{FF2B5EF4-FFF2-40B4-BE49-F238E27FC236}">
              <a16:creationId xmlns:a16="http://schemas.microsoft.com/office/drawing/2014/main" id="{00000000-0008-0000-0800-00003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9" name="Text Box 153">
          <a:extLst>
            <a:ext uri="{FF2B5EF4-FFF2-40B4-BE49-F238E27FC236}">
              <a16:creationId xmlns:a16="http://schemas.microsoft.com/office/drawing/2014/main" id="{00000000-0008-0000-0800-00003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0" name="Text Box 154">
          <a:extLst>
            <a:ext uri="{FF2B5EF4-FFF2-40B4-BE49-F238E27FC236}">
              <a16:creationId xmlns:a16="http://schemas.microsoft.com/office/drawing/2014/main" id="{00000000-0008-0000-0800-00004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1" name="Text Box 155">
          <a:extLst>
            <a:ext uri="{FF2B5EF4-FFF2-40B4-BE49-F238E27FC236}">
              <a16:creationId xmlns:a16="http://schemas.microsoft.com/office/drawing/2014/main" id="{00000000-0008-0000-0800-00004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2" name="Text Box 156">
          <a:extLst>
            <a:ext uri="{FF2B5EF4-FFF2-40B4-BE49-F238E27FC236}">
              <a16:creationId xmlns:a16="http://schemas.microsoft.com/office/drawing/2014/main" id="{00000000-0008-0000-0800-00004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3" name="Text Box 157">
          <a:extLst>
            <a:ext uri="{FF2B5EF4-FFF2-40B4-BE49-F238E27FC236}">
              <a16:creationId xmlns:a16="http://schemas.microsoft.com/office/drawing/2014/main" id="{00000000-0008-0000-0800-00004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4" name="Text Box 158">
          <a:extLst>
            <a:ext uri="{FF2B5EF4-FFF2-40B4-BE49-F238E27FC236}">
              <a16:creationId xmlns:a16="http://schemas.microsoft.com/office/drawing/2014/main" id="{00000000-0008-0000-0800-00004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5" name="Text Box 159">
          <a:extLst>
            <a:ext uri="{FF2B5EF4-FFF2-40B4-BE49-F238E27FC236}">
              <a16:creationId xmlns:a16="http://schemas.microsoft.com/office/drawing/2014/main" id="{00000000-0008-0000-0800-00004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6" name="Text Box 160">
          <a:extLst>
            <a:ext uri="{FF2B5EF4-FFF2-40B4-BE49-F238E27FC236}">
              <a16:creationId xmlns:a16="http://schemas.microsoft.com/office/drawing/2014/main" id="{00000000-0008-0000-0800-00004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7" name="Text Box 161">
          <a:extLst>
            <a:ext uri="{FF2B5EF4-FFF2-40B4-BE49-F238E27FC236}">
              <a16:creationId xmlns:a16="http://schemas.microsoft.com/office/drawing/2014/main" id="{00000000-0008-0000-0800-00004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8" name="Text Box 162">
          <a:extLst>
            <a:ext uri="{FF2B5EF4-FFF2-40B4-BE49-F238E27FC236}">
              <a16:creationId xmlns:a16="http://schemas.microsoft.com/office/drawing/2014/main" id="{00000000-0008-0000-0800-00004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9" name="Text Box 163">
          <a:extLst>
            <a:ext uri="{FF2B5EF4-FFF2-40B4-BE49-F238E27FC236}">
              <a16:creationId xmlns:a16="http://schemas.microsoft.com/office/drawing/2014/main" id="{00000000-0008-0000-0800-00004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0" name="Text Box 164">
          <a:extLst>
            <a:ext uri="{FF2B5EF4-FFF2-40B4-BE49-F238E27FC236}">
              <a16:creationId xmlns:a16="http://schemas.microsoft.com/office/drawing/2014/main" id="{00000000-0008-0000-0800-00004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1" name="Text Box 165">
          <a:extLst>
            <a:ext uri="{FF2B5EF4-FFF2-40B4-BE49-F238E27FC236}">
              <a16:creationId xmlns:a16="http://schemas.microsoft.com/office/drawing/2014/main" id="{00000000-0008-0000-0800-00004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2" name="Text Box 166">
          <a:extLst>
            <a:ext uri="{FF2B5EF4-FFF2-40B4-BE49-F238E27FC236}">
              <a16:creationId xmlns:a16="http://schemas.microsoft.com/office/drawing/2014/main" id="{00000000-0008-0000-0800-00004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3" name="Text Box 167">
          <a:extLst>
            <a:ext uri="{FF2B5EF4-FFF2-40B4-BE49-F238E27FC236}">
              <a16:creationId xmlns:a16="http://schemas.microsoft.com/office/drawing/2014/main" id="{00000000-0008-0000-0800-00004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4" name="Text Box 168">
          <a:extLst>
            <a:ext uri="{FF2B5EF4-FFF2-40B4-BE49-F238E27FC236}">
              <a16:creationId xmlns:a16="http://schemas.microsoft.com/office/drawing/2014/main" id="{00000000-0008-0000-0800-00004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5" name="Text Box 169">
          <a:extLst>
            <a:ext uri="{FF2B5EF4-FFF2-40B4-BE49-F238E27FC236}">
              <a16:creationId xmlns:a16="http://schemas.microsoft.com/office/drawing/2014/main" id="{00000000-0008-0000-0800-00004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6" name="Text Box 170">
          <a:extLst>
            <a:ext uri="{FF2B5EF4-FFF2-40B4-BE49-F238E27FC236}">
              <a16:creationId xmlns:a16="http://schemas.microsoft.com/office/drawing/2014/main" id="{00000000-0008-0000-0800-00005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7" name="Text Box 171">
          <a:extLst>
            <a:ext uri="{FF2B5EF4-FFF2-40B4-BE49-F238E27FC236}">
              <a16:creationId xmlns:a16="http://schemas.microsoft.com/office/drawing/2014/main" id="{00000000-0008-0000-0800-00005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8" name="Text Box 172">
          <a:extLst>
            <a:ext uri="{FF2B5EF4-FFF2-40B4-BE49-F238E27FC236}">
              <a16:creationId xmlns:a16="http://schemas.microsoft.com/office/drawing/2014/main" id="{00000000-0008-0000-0800-00005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9" name="Text Box 173">
          <a:extLst>
            <a:ext uri="{FF2B5EF4-FFF2-40B4-BE49-F238E27FC236}">
              <a16:creationId xmlns:a16="http://schemas.microsoft.com/office/drawing/2014/main" id="{00000000-0008-0000-0800-00005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0" name="Text Box 174">
          <a:extLst>
            <a:ext uri="{FF2B5EF4-FFF2-40B4-BE49-F238E27FC236}">
              <a16:creationId xmlns:a16="http://schemas.microsoft.com/office/drawing/2014/main" id="{00000000-0008-0000-0800-00005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1" name="Text Box 175">
          <a:extLst>
            <a:ext uri="{FF2B5EF4-FFF2-40B4-BE49-F238E27FC236}">
              <a16:creationId xmlns:a16="http://schemas.microsoft.com/office/drawing/2014/main" id="{00000000-0008-0000-0800-00005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2" name="Text Box 176">
          <a:extLst>
            <a:ext uri="{FF2B5EF4-FFF2-40B4-BE49-F238E27FC236}">
              <a16:creationId xmlns:a16="http://schemas.microsoft.com/office/drawing/2014/main" id="{00000000-0008-0000-0800-00005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3" name="Text Box 177">
          <a:extLst>
            <a:ext uri="{FF2B5EF4-FFF2-40B4-BE49-F238E27FC236}">
              <a16:creationId xmlns:a16="http://schemas.microsoft.com/office/drawing/2014/main" id="{00000000-0008-0000-0800-00005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4" name="Text Box 178">
          <a:extLst>
            <a:ext uri="{FF2B5EF4-FFF2-40B4-BE49-F238E27FC236}">
              <a16:creationId xmlns:a16="http://schemas.microsoft.com/office/drawing/2014/main" id="{00000000-0008-0000-0800-00005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5" name="Text Box 179">
          <a:extLst>
            <a:ext uri="{FF2B5EF4-FFF2-40B4-BE49-F238E27FC236}">
              <a16:creationId xmlns:a16="http://schemas.microsoft.com/office/drawing/2014/main" id="{00000000-0008-0000-0800-00005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6" name="Text Box 180">
          <a:extLst>
            <a:ext uri="{FF2B5EF4-FFF2-40B4-BE49-F238E27FC236}">
              <a16:creationId xmlns:a16="http://schemas.microsoft.com/office/drawing/2014/main" id="{00000000-0008-0000-0800-00005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7" name="Text Box 181">
          <a:extLst>
            <a:ext uri="{FF2B5EF4-FFF2-40B4-BE49-F238E27FC236}">
              <a16:creationId xmlns:a16="http://schemas.microsoft.com/office/drawing/2014/main" id="{00000000-0008-0000-0800-00005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8" name="Text Box 182">
          <a:extLst>
            <a:ext uri="{FF2B5EF4-FFF2-40B4-BE49-F238E27FC236}">
              <a16:creationId xmlns:a16="http://schemas.microsoft.com/office/drawing/2014/main" id="{00000000-0008-0000-0800-00005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9" name="Text Box 183">
          <a:extLst>
            <a:ext uri="{FF2B5EF4-FFF2-40B4-BE49-F238E27FC236}">
              <a16:creationId xmlns:a16="http://schemas.microsoft.com/office/drawing/2014/main" id="{00000000-0008-0000-0800-00005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0" name="Text Box 184">
          <a:extLst>
            <a:ext uri="{FF2B5EF4-FFF2-40B4-BE49-F238E27FC236}">
              <a16:creationId xmlns:a16="http://schemas.microsoft.com/office/drawing/2014/main" id="{00000000-0008-0000-0800-00005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1" name="Text Box 185">
          <a:extLst>
            <a:ext uri="{FF2B5EF4-FFF2-40B4-BE49-F238E27FC236}">
              <a16:creationId xmlns:a16="http://schemas.microsoft.com/office/drawing/2014/main" id="{00000000-0008-0000-0800-00005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2" name="Text Box 186">
          <a:extLst>
            <a:ext uri="{FF2B5EF4-FFF2-40B4-BE49-F238E27FC236}">
              <a16:creationId xmlns:a16="http://schemas.microsoft.com/office/drawing/2014/main" id="{00000000-0008-0000-0800-00006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3" name="Text Box 187">
          <a:extLst>
            <a:ext uri="{FF2B5EF4-FFF2-40B4-BE49-F238E27FC236}">
              <a16:creationId xmlns:a16="http://schemas.microsoft.com/office/drawing/2014/main" id="{00000000-0008-0000-0800-00006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4" name="Text Box 188">
          <a:extLst>
            <a:ext uri="{FF2B5EF4-FFF2-40B4-BE49-F238E27FC236}">
              <a16:creationId xmlns:a16="http://schemas.microsoft.com/office/drawing/2014/main" id="{00000000-0008-0000-0800-00006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5" name="Text Box 189">
          <a:extLst>
            <a:ext uri="{FF2B5EF4-FFF2-40B4-BE49-F238E27FC236}">
              <a16:creationId xmlns:a16="http://schemas.microsoft.com/office/drawing/2014/main" id="{00000000-0008-0000-0800-00006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6" name="Text Box 190">
          <a:extLst>
            <a:ext uri="{FF2B5EF4-FFF2-40B4-BE49-F238E27FC236}">
              <a16:creationId xmlns:a16="http://schemas.microsoft.com/office/drawing/2014/main" id="{00000000-0008-0000-0800-00006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7" name="Text Box 191">
          <a:extLst>
            <a:ext uri="{FF2B5EF4-FFF2-40B4-BE49-F238E27FC236}">
              <a16:creationId xmlns:a16="http://schemas.microsoft.com/office/drawing/2014/main" id="{00000000-0008-0000-0800-00006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8" name="Text Box 192">
          <a:extLst>
            <a:ext uri="{FF2B5EF4-FFF2-40B4-BE49-F238E27FC236}">
              <a16:creationId xmlns:a16="http://schemas.microsoft.com/office/drawing/2014/main" id="{00000000-0008-0000-0800-00006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9" name="Text Box 193">
          <a:extLst>
            <a:ext uri="{FF2B5EF4-FFF2-40B4-BE49-F238E27FC236}">
              <a16:creationId xmlns:a16="http://schemas.microsoft.com/office/drawing/2014/main" id="{00000000-0008-0000-0800-00006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0" name="Text Box 194">
          <a:extLst>
            <a:ext uri="{FF2B5EF4-FFF2-40B4-BE49-F238E27FC236}">
              <a16:creationId xmlns:a16="http://schemas.microsoft.com/office/drawing/2014/main" id="{00000000-0008-0000-0800-00006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1" name="Text Box 195">
          <a:extLst>
            <a:ext uri="{FF2B5EF4-FFF2-40B4-BE49-F238E27FC236}">
              <a16:creationId xmlns:a16="http://schemas.microsoft.com/office/drawing/2014/main" id="{00000000-0008-0000-0800-00006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2" name="Text Box 196">
          <a:extLst>
            <a:ext uri="{FF2B5EF4-FFF2-40B4-BE49-F238E27FC236}">
              <a16:creationId xmlns:a16="http://schemas.microsoft.com/office/drawing/2014/main" id="{00000000-0008-0000-0800-00006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3" name="Text Box 197">
          <a:extLst>
            <a:ext uri="{FF2B5EF4-FFF2-40B4-BE49-F238E27FC236}">
              <a16:creationId xmlns:a16="http://schemas.microsoft.com/office/drawing/2014/main" id="{00000000-0008-0000-0800-00006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4" name="Text Box 198">
          <a:extLst>
            <a:ext uri="{FF2B5EF4-FFF2-40B4-BE49-F238E27FC236}">
              <a16:creationId xmlns:a16="http://schemas.microsoft.com/office/drawing/2014/main" id="{00000000-0008-0000-0800-00006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5" name="Text Box 199">
          <a:extLst>
            <a:ext uri="{FF2B5EF4-FFF2-40B4-BE49-F238E27FC236}">
              <a16:creationId xmlns:a16="http://schemas.microsoft.com/office/drawing/2014/main" id="{00000000-0008-0000-0800-00006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6" name="Text Box 200">
          <a:extLst>
            <a:ext uri="{FF2B5EF4-FFF2-40B4-BE49-F238E27FC236}">
              <a16:creationId xmlns:a16="http://schemas.microsoft.com/office/drawing/2014/main" id="{00000000-0008-0000-0800-00006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7" name="Text Box 201">
          <a:extLst>
            <a:ext uri="{FF2B5EF4-FFF2-40B4-BE49-F238E27FC236}">
              <a16:creationId xmlns:a16="http://schemas.microsoft.com/office/drawing/2014/main" id="{00000000-0008-0000-0800-00006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8" name="Text Box 202">
          <a:extLst>
            <a:ext uri="{FF2B5EF4-FFF2-40B4-BE49-F238E27FC236}">
              <a16:creationId xmlns:a16="http://schemas.microsoft.com/office/drawing/2014/main" id="{00000000-0008-0000-0800-00007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49" name="Text Box 203">
          <a:extLst>
            <a:ext uri="{FF2B5EF4-FFF2-40B4-BE49-F238E27FC236}">
              <a16:creationId xmlns:a16="http://schemas.microsoft.com/office/drawing/2014/main" id="{00000000-0008-0000-0800-00007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0" name="Text Box 204">
          <a:extLst>
            <a:ext uri="{FF2B5EF4-FFF2-40B4-BE49-F238E27FC236}">
              <a16:creationId xmlns:a16="http://schemas.microsoft.com/office/drawing/2014/main" id="{00000000-0008-0000-0800-00007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1" name="Text Box 205">
          <a:extLst>
            <a:ext uri="{FF2B5EF4-FFF2-40B4-BE49-F238E27FC236}">
              <a16:creationId xmlns:a16="http://schemas.microsoft.com/office/drawing/2014/main" id="{00000000-0008-0000-0800-00007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2" name="Text Box 206">
          <a:extLst>
            <a:ext uri="{FF2B5EF4-FFF2-40B4-BE49-F238E27FC236}">
              <a16:creationId xmlns:a16="http://schemas.microsoft.com/office/drawing/2014/main" id="{00000000-0008-0000-0800-00007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3" name="Text Box 207">
          <a:extLst>
            <a:ext uri="{FF2B5EF4-FFF2-40B4-BE49-F238E27FC236}">
              <a16:creationId xmlns:a16="http://schemas.microsoft.com/office/drawing/2014/main" id="{00000000-0008-0000-0800-00007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4" name="Text Box 208">
          <a:extLst>
            <a:ext uri="{FF2B5EF4-FFF2-40B4-BE49-F238E27FC236}">
              <a16:creationId xmlns:a16="http://schemas.microsoft.com/office/drawing/2014/main" id="{00000000-0008-0000-0800-00007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5" name="Text Box 209">
          <a:extLst>
            <a:ext uri="{FF2B5EF4-FFF2-40B4-BE49-F238E27FC236}">
              <a16:creationId xmlns:a16="http://schemas.microsoft.com/office/drawing/2014/main" id="{00000000-0008-0000-0800-00007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6" name="Text Box 210">
          <a:extLst>
            <a:ext uri="{FF2B5EF4-FFF2-40B4-BE49-F238E27FC236}">
              <a16:creationId xmlns:a16="http://schemas.microsoft.com/office/drawing/2014/main" id="{00000000-0008-0000-0800-00007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7" name="Text Box 211">
          <a:extLst>
            <a:ext uri="{FF2B5EF4-FFF2-40B4-BE49-F238E27FC236}">
              <a16:creationId xmlns:a16="http://schemas.microsoft.com/office/drawing/2014/main" id="{00000000-0008-0000-0800-00007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8" name="Text Box 212">
          <a:extLst>
            <a:ext uri="{FF2B5EF4-FFF2-40B4-BE49-F238E27FC236}">
              <a16:creationId xmlns:a16="http://schemas.microsoft.com/office/drawing/2014/main" id="{00000000-0008-0000-0800-00007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9" name="Text Box 213">
          <a:extLst>
            <a:ext uri="{FF2B5EF4-FFF2-40B4-BE49-F238E27FC236}">
              <a16:creationId xmlns:a16="http://schemas.microsoft.com/office/drawing/2014/main" id="{00000000-0008-0000-0800-00007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0" name="Text Box 214">
          <a:extLst>
            <a:ext uri="{FF2B5EF4-FFF2-40B4-BE49-F238E27FC236}">
              <a16:creationId xmlns:a16="http://schemas.microsoft.com/office/drawing/2014/main" id="{00000000-0008-0000-0800-00007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1" name="Text Box 215">
          <a:extLst>
            <a:ext uri="{FF2B5EF4-FFF2-40B4-BE49-F238E27FC236}">
              <a16:creationId xmlns:a16="http://schemas.microsoft.com/office/drawing/2014/main" id="{00000000-0008-0000-0800-00007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2" name="Text Box 216">
          <a:extLst>
            <a:ext uri="{FF2B5EF4-FFF2-40B4-BE49-F238E27FC236}">
              <a16:creationId xmlns:a16="http://schemas.microsoft.com/office/drawing/2014/main" id="{00000000-0008-0000-0800-00007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3" name="Text Box 217">
          <a:extLst>
            <a:ext uri="{FF2B5EF4-FFF2-40B4-BE49-F238E27FC236}">
              <a16:creationId xmlns:a16="http://schemas.microsoft.com/office/drawing/2014/main" id="{00000000-0008-0000-0800-00007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4" name="Text Box 218">
          <a:extLst>
            <a:ext uri="{FF2B5EF4-FFF2-40B4-BE49-F238E27FC236}">
              <a16:creationId xmlns:a16="http://schemas.microsoft.com/office/drawing/2014/main" id="{00000000-0008-0000-0800-00008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5" name="Text Box 219">
          <a:extLst>
            <a:ext uri="{FF2B5EF4-FFF2-40B4-BE49-F238E27FC236}">
              <a16:creationId xmlns:a16="http://schemas.microsoft.com/office/drawing/2014/main" id="{00000000-0008-0000-0800-00008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6" name="Text Box 220">
          <a:extLst>
            <a:ext uri="{FF2B5EF4-FFF2-40B4-BE49-F238E27FC236}">
              <a16:creationId xmlns:a16="http://schemas.microsoft.com/office/drawing/2014/main" id="{00000000-0008-0000-0800-00008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7" name="Text Box 221">
          <a:extLst>
            <a:ext uri="{FF2B5EF4-FFF2-40B4-BE49-F238E27FC236}">
              <a16:creationId xmlns:a16="http://schemas.microsoft.com/office/drawing/2014/main" id="{00000000-0008-0000-0800-00008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8" name="Text Box 222">
          <a:extLst>
            <a:ext uri="{FF2B5EF4-FFF2-40B4-BE49-F238E27FC236}">
              <a16:creationId xmlns:a16="http://schemas.microsoft.com/office/drawing/2014/main" id="{00000000-0008-0000-0800-00008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9" name="Text Box 223">
          <a:extLst>
            <a:ext uri="{FF2B5EF4-FFF2-40B4-BE49-F238E27FC236}">
              <a16:creationId xmlns:a16="http://schemas.microsoft.com/office/drawing/2014/main" id="{00000000-0008-0000-0800-00008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0" name="Text Box 224">
          <a:extLst>
            <a:ext uri="{FF2B5EF4-FFF2-40B4-BE49-F238E27FC236}">
              <a16:creationId xmlns:a16="http://schemas.microsoft.com/office/drawing/2014/main" id="{00000000-0008-0000-0800-00008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1" name="Text Box 225">
          <a:extLst>
            <a:ext uri="{FF2B5EF4-FFF2-40B4-BE49-F238E27FC236}">
              <a16:creationId xmlns:a16="http://schemas.microsoft.com/office/drawing/2014/main" id="{00000000-0008-0000-0800-00008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2" name="Text Box 226">
          <a:extLst>
            <a:ext uri="{FF2B5EF4-FFF2-40B4-BE49-F238E27FC236}">
              <a16:creationId xmlns:a16="http://schemas.microsoft.com/office/drawing/2014/main" id="{00000000-0008-0000-0800-00008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3" name="Text Box 227">
          <a:extLst>
            <a:ext uri="{FF2B5EF4-FFF2-40B4-BE49-F238E27FC236}">
              <a16:creationId xmlns:a16="http://schemas.microsoft.com/office/drawing/2014/main" id="{00000000-0008-0000-0800-00008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4" name="Text Box 228">
          <a:extLst>
            <a:ext uri="{FF2B5EF4-FFF2-40B4-BE49-F238E27FC236}">
              <a16:creationId xmlns:a16="http://schemas.microsoft.com/office/drawing/2014/main" id="{00000000-0008-0000-0800-00008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5" name="Text Box 229">
          <a:extLst>
            <a:ext uri="{FF2B5EF4-FFF2-40B4-BE49-F238E27FC236}">
              <a16:creationId xmlns:a16="http://schemas.microsoft.com/office/drawing/2014/main" id="{00000000-0008-0000-0800-00008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6" name="Text Box 230">
          <a:extLst>
            <a:ext uri="{FF2B5EF4-FFF2-40B4-BE49-F238E27FC236}">
              <a16:creationId xmlns:a16="http://schemas.microsoft.com/office/drawing/2014/main" id="{00000000-0008-0000-0800-00008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7" name="Text Box 231">
          <a:extLst>
            <a:ext uri="{FF2B5EF4-FFF2-40B4-BE49-F238E27FC236}">
              <a16:creationId xmlns:a16="http://schemas.microsoft.com/office/drawing/2014/main" id="{00000000-0008-0000-0800-00008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8" name="Text Box 232">
          <a:extLst>
            <a:ext uri="{FF2B5EF4-FFF2-40B4-BE49-F238E27FC236}">
              <a16:creationId xmlns:a16="http://schemas.microsoft.com/office/drawing/2014/main" id="{00000000-0008-0000-0800-00008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9" name="Text Box 233">
          <a:extLst>
            <a:ext uri="{FF2B5EF4-FFF2-40B4-BE49-F238E27FC236}">
              <a16:creationId xmlns:a16="http://schemas.microsoft.com/office/drawing/2014/main" id="{00000000-0008-0000-0800-00008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0" name="Text Box 234">
          <a:extLst>
            <a:ext uri="{FF2B5EF4-FFF2-40B4-BE49-F238E27FC236}">
              <a16:creationId xmlns:a16="http://schemas.microsoft.com/office/drawing/2014/main" id="{00000000-0008-0000-0800-00009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1" name="Text Box 235">
          <a:extLst>
            <a:ext uri="{FF2B5EF4-FFF2-40B4-BE49-F238E27FC236}">
              <a16:creationId xmlns:a16="http://schemas.microsoft.com/office/drawing/2014/main" id="{00000000-0008-0000-0800-00009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2" name="Text Box 236">
          <a:extLst>
            <a:ext uri="{FF2B5EF4-FFF2-40B4-BE49-F238E27FC236}">
              <a16:creationId xmlns:a16="http://schemas.microsoft.com/office/drawing/2014/main" id="{00000000-0008-0000-0800-00009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3" name="Text Box 237">
          <a:extLst>
            <a:ext uri="{FF2B5EF4-FFF2-40B4-BE49-F238E27FC236}">
              <a16:creationId xmlns:a16="http://schemas.microsoft.com/office/drawing/2014/main" id="{00000000-0008-0000-0800-00009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4" name="Text Box 238">
          <a:extLst>
            <a:ext uri="{FF2B5EF4-FFF2-40B4-BE49-F238E27FC236}">
              <a16:creationId xmlns:a16="http://schemas.microsoft.com/office/drawing/2014/main" id="{00000000-0008-0000-0800-00009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5" name="Text Box 239">
          <a:extLst>
            <a:ext uri="{FF2B5EF4-FFF2-40B4-BE49-F238E27FC236}">
              <a16:creationId xmlns:a16="http://schemas.microsoft.com/office/drawing/2014/main" id="{00000000-0008-0000-0800-00009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6" name="Text Box 240">
          <a:extLst>
            <a:ext uri="{FF2B5EF4-FFF2-40B4-BE49-F238E27FC236}">
              <a16:creationId xmlns:a16="http://schemas.microsoft.com/office/drawing/2014/main" id="{00000000-0008-0000-0800-00009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7" name="Text Box 241">
          <a:extLst>
            <a:ext uri="{FF2B5EF4-FFF2-40B4-BE49-F238E27FC236}">
              <a16:creationId xmlns:a16="http://schemas.microsoft.com/office/drawing/2014/main" id="{00000000-0008-0000-0800-00009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8" name="Text Box 242">
          <a:extLst>
            <a:ext uri="{FF2B5EF4-FFF2-40B4-BE49-F238E27FC236}">
              <a16:creationId xmlns:a16="http://schemas.microsoft.com/office/drawing/2014/main" id="{00000000-0008-0000-0800-00009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9" name="Text Box 243">
          <a:extLst>
            <a:ext uri="{FF2B5EF4-FFF2-40B4-BE49-F238E27FC236}">
              <a16:creationId xmlns:a16="http://schemas.microsoft.com/office/drawing/2014/main" id="{00000000-0008-0000-0800-00009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0" name="Text Box 244">
          <a:extLst>
            <a:ext uri="{FF2B5EF4-FFF2-40B4-BE49-F238E27FC236}">
              <a16:creationId xmlns:a16="http://schemas.microsoft.com/office/drawing/2014/main" id="{00000000-0008-0000-0800-00009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1" name="Text Box 245">
          <a:extLst>
            <a:ext uri="{FF2B5EF4-FFF2-40B4-BE49-F238E27FC236}">
              <a16:creationId xmlns:a16="http://schemas.microsoft.com/office/drawing/2014/main" id="{00000000-0008-0000-0800-00009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2" name="Text Box 246">
          <a:extLst>
            <a:ext uri="{FF2B5EF4-FFF2-40B4-BE49-F238E27FC236}">
              <a16:creationId xmlns:a16="http://schemas.microsoft.com/office/drawing/2014/main" id="{00000000-0008-0000-0800-00009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3" name="Text Box 247">
          <a:extLst>
            <a:ext uri="{FF2B5EF4-FFF2-40B4-BE49-F238E27FC236}">
              <a16:creationId xmlns:a16="http://schemas.microsoft.com/office/drawing/2014/main" id="{00000000-0008-0000-0800-00009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4" name="Text Box 248">
          <a:extLst>
            <a:ext uri="{FF2B5EF4-FFF2-40B4-BE49-F238E27FC236}">
              <a16:creationId xmlns:a16="http://schemas.microsoft.com/office/drawing/2014/main" id="{00000000-0008-0000-0800-00009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5" name="Text Box 249">
          <a:extLst>
            <a:ext uri="{FF2B5EF4-FFF2-40B4-BE49-F238E27FC236}">
              <a16:creationId xmlns:a16="http://schemas.microsoft.com/office/drawing/2014/main" id="{00000000-0008-0000-0800-00009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6" name="Text Box 250">
          <a:extLst>
            <a:ext uri="{FF2B5EF4-FFF2-40B4-BE49-F238E27FC236}">
              <a16:creationId xmlns:a16="http://schemas.microsoft.com/office/drawing/2014/main" id="{00000000-0008-0000-0800-0000A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7" name="Text Box 251">
          <a:extLst>
            <a:ext uri="{FF2B5EF4-FFF2-40B4-BE49-F238E27FC236}">
              <a16:creationId xmlns:a16="http://schemas.microsoft.com/office/drawing/2014/main" id="{00000000-0008-0000-0800-0000A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8" name="Text Box 252">
          <a:extLst>
            <a:ext uri="{FF2B5EF4-FFF2-40B4-BE49-F238E27FC236}">
              <a16:creationId xmlns:a16="http://schemas.microsoft.com/office/drawing/2014/main" id="{00000000-0008-0000-0800-0000A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9" name="Text Box 253">
          <a:extLst>
            <a:ext uri="{FF2B5EF4-FFF2-40B4-BE49-F238E27FC236}">
              <a16:creationId xmlns:a16="http://schemas.microsoft.com/office/drawing/2014/main" id="{00000000-0008-0000-0800-0000A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0" name="Text Box 254">
          <a:extLst>
            <a:ext uri="{FF2B5EF4-FFF2-40B4-BE49-F238E27FC236}">
              <a16:creationId xmlns:a16="http://schemas.microsoft.com/office/drawing/2014/main" id="{00000000-0008-0000-0800-0000A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1" name="Text Box 255">
          <a:extLst>
            <a:ext uri="{FF2B5EF4-FFF2-40B4-BE49-F238E27FC236}">
              <a16:creationId xmlns:a16="http://schemas.microsoft.com/office/drawing/2014/main" id="{00000000-0008-0000-0800-0000A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2" name="Text Box 256">
          <a:extLst>
            <a:ext uri="{FF2B5EF4-FFF2-40B4-BE49-F238E27FC236}">
              <a16:creationId xmlns:a16="http://schemas.microsoft.com/office/drawing/2014/main" id="{00000000-0008-0000-0800-0000A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3" name="Text Box 257">
          <a:extLst>
            <a:ext uri="{FF2B5EF4-FFF2-40B4-BE49-F238E27FC236}">
              <a16:creationId xmlns:a16="http://schemas.microsoft.com/office/drawing/2014/main" id="{00000000-0008-0000-0800-0000A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4" name="Text Box 258">
          <a:extLst>
            <a:ext uri="{FF2B5EF4-FFF2-40B4-BE49-F238E27FC236}">
              <a16:creationId xmlns:a16="http://schemas.microsoft.com/office/drawing/2014/main" id="{00000000-0008-0000-0800-0000A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5" name="Text Box 259">
          <a:extLst>
            <a:ext uri="{FF2B5EF4-FFF2-40B4-BE49-F238E27FC236}">
              <a16:creationId xmlns:a16="http://schemas.microsoft.com/office/drawing/2014/main" id="{00000000-0008-0000-0800-0000A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6" name="Text Box 260">
          <a:extLst>
            <a:ext uri="{FF2B5EF4-FFF2-40B4-BE49-F238E27FC236}">
              <a16:creationId xmlns:a16="http://schemas.microsoft.com/office/drawing/2014/main" id="{00000000-0008-0000-0800-0000A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7" name="Text Box 261">
          <a:extLst>
            <a:ext uri="{FF2B5EF4-FFF2-40B4-BE49-F238E27FC236}">
              <a16:creationId xmlns:a16="http://schemas.microsoft.com/office/drawing/2014/main" id="{00000000-0008-0000-0800-0000A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8" name="Text Box 262">
          <a:extLst>
            <a:ext uri="{FF2B5EF4-FFF2-40B4-BE49-F238E27FC236}">
              <a16:creationId xmlns:a16="http://schemas.microsoft.com/office/drawing/2014/main" id="{00000000-0008-0000-0800-0000A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9" name="Text Box 263">
          <a:extLst>
            <a:ext uri="{FF2B5EF4-FFF2-40B4-BE49-F238E27FC236}">
              <a16:creationId xmlns:a16="http://schemas.microsoft.com/office/drawing/2014/main" id="{00000000-0008-0000-0800-0000A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0" name="Text Box 264">
          <a:extLst>
            <a:ext uri="{FF2B5EF4-FFF2-40B4-BE49-F238E27FC236}">
              <a16:creationId xmlns:a16="http://schemas.microsoft.com/office/drawing/2014/main" id="{00000000-0008-0000-0800-0000A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1" name="Text Box 265">
          <a:extLst>
            <a:ext uri="{FF2B5EF4-FFF2-40B4-BE49-F238E27FC236}">
              <a16:creationId xmlns:a16="http://schemas.microsoft.com/office/drawing/2014/main" id="{00000000-0008-0000-0800-0000A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2" name="Text Box 266">
          <a:extLst>
            <a:ext uri="{FF2B5EF4-FFF2-40B4-BE49-F238E27FC236}">
              <a16:creationId xmlns:a16="http://schemas.microsoft.com/office/drawing/2014/main" id="{00000000-0008-0000-0800-0000B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3" name="Text Box 267">
          <a:extLst>
            <a:ext uri="{FF2B5EF4-FFF2-40B4-BE49-F238E27FC236}">
              <a16:creationId xmlns:a16="http://schemas.microsoft.com/office/drawing/2014/main" id="{00000000-0008-0000-0800-0000B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4" name="Text Box 268">
          <a:extLst>
            <a:ext uri="{FF2B5EF4-FFF2-40B4-BE49-F238E27FC236}">
              <a16:creationId xmlns:a16="http://schemas.microsoft.com/office/drawing/2014/main" id="{00000000-0008-0000-0800-0000B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5" name="Text Box 269">
          <a:extLst>
            <a:ext uri="{FF2B5EF4-FFF2-40B4-BE49-F238E27FC236}">
              <a16:creationId xmlns:a16="http://schemas.microsoft.com/office/drawing/2014/main" id="{00000000-0008-0000-0800-0000B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6" name="Text Box 270">
          <a:extLst>
            <a:ext uri="{FF2B5EF4-FFF2-40B4-BE49-F238E27FC236}">
              <a16:creationId xmlns:a16="http://schemas.microsoft.com/office/drawing/2014/main" id="{00000000-0008-0000-0800-0000B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7" name="Text Box 271">
          <a:extLst>
            <a:ext uri="{FF2B5EF4-FFF2-40B4-BE49-F238E27FC236}">
              <a16:creationId xmlns:a16="http://schemas.microsoft.com/office/drawing/2014/main" id="{00000000-0008-0000-0800-0000B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8" name="Text Box 272">
          <a:extLst>
            <a:ext uri="{FF2B5EF4-FFF2-40B4-BE49-F238E27FC236}">
              <a16:creationId xmlns:a16="http://schemas.microsoft.com/office/drawing/2014/main" id="{00000000-0008-0000-0800-0000B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9" name="Text Box 273">
          <a:extLst>
            <a:ext uri="{FF2B5EF4-FFF2-40B4-BE49-F238E27FC236}">
              <a16:creationId xmlns:a16="http://schemas.microsoft.com/office/drawing/2014/main" id="{00000000-0008-0000-0800-0000B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0" name="Text Box 274">
          <a:extLst>
            <a:ext uri="{FF2B5EF4-FFF2-40B4-BE49-F238E27FC236}">
              <a16:creationId xmlns:a16="http://schemas.microsoft.com/office/drawing/2014/main" id="{00000000-0008-0000-0800-0000B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1" name="Text Box 275">
          <a:extLst>
            <a:ext uri="{FF2B5EF4-FFF2-40B4-BE49-F238E27FC236}">
              <a16:creationId xmlns:a16="http://schemas.microsoft.com/office/drawing/2014/main" id="{00000000-0008-0000-0800-0000B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2" name="Text Box 276">
          <a:extLst>
            <a:ext uri="{FF2B5EF4-FFF2-40B4-BE49-F238E27FC236}">
              <a16:creationId xmlns:a16="http://schemas.microsoft.com/office/drawing/2014/main" id="{00000000-0008-0000-0800-0000B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3" name="Text Box 277">
          <a:extLst>
            <a:ext uri="{FF2B5EF4-FFF2-40B4-BE49-F238E27FC236}">
              <a16:creationId xmlns:a16="http://schemas.microsoft.com/office/drawing/2014/main" id="{00000000-0008-0000-0800-0000B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4" name="Text Box 278">
          <a:extLst>
            <a:ext uri="{FF2B5EF4-FFF2-40B4-BE49-F238E27FC236}">
              <a16:creationId xmlns:a16="http://schemas.microsoft.com/office/drawing/2014/main" id="{00000000-0008-0000-0800-0000B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5" name="Text Box 279">
          <a:extLst>
            <a:ext uri="{FF2B5EF4-FFF2-40B4-BE49-F238E27FC236}">
              <a16:creationId xmlns:a16="http://schemas.microsoft.com/office/drawing/2014/main" id="{00000000-0008-0000-0800-0000B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6" name="Text Box 280">
          <a:extLst>
            <a:ext uri="{FF2B5EF4-FFF2-40B4-BE49-F238E27FC236}">
              <a16:creationId xmlns:a16="http://schemas.microsoft.com/office/drawing/2014/main" id="{00000000-0008-0000-0800-0000B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7" name="Text Box 281">
          <a:extLst>
            <a:ext uri="{FF2B5EF4-FFF2-40B4-BE49-F238E27FC236}">
              <a16:creationId xmlns:a16="http://schemas.microsoft.com/office/drawing/2014/main" id="{00000000-0008-0000-0800-0000B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8" name="Text Box 282">
          <a:extLst>
            <a:ext uri="{FF2B5EF4-FFF2-40B4-BE49-F238E27FC236}">
              <a16:creationId xmlns:a16="http://schemas.microsoft.com/office/drawing/2014/main" id="{00000000-0008-0000-0800-0000C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9" name="Text Box 283">
          <a:extLst>
            <a:ext uri="{FF2B5EF4-FFF2-40B4-BE49-F238E27FC236}">
              <a16:creationId xmlns:a16="http://schemas.microsoft.com/office/drawing/2014/main" id="{00000000-0008-0000-0800-0000C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0" name="Text Box 284">
          <a:extLst>
            <a:ext uri="{FF2B5EF4-FFF2-40B4-BE49-F238E27FC236}">
              <a16:creationId xmlns:a16="http://schemas.microsoft.com/office/drawing/2014/main" id="{00000000-0008-0000-0800-0000C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1" name="Text Box 285">
          <a:extLst>
            <a:ext uri="{FF2B5EF4-FFF2-40B4-BE49-F238E27FC236}">
              <a16:creationId xmlns:a16="http://schemas.microsoft.com/office/drawing/2014/main" id="{00000000-0008-0000-0800-0000C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2" name="Text Box 286">
          <a:extLst>
            <a:ext uri="{FF2B5EF4-FFF2-40B4-BE49-F238E27FC236}">
              <a16:creationId xmlns:a16="http://schemas.microsoft.com/office/drawing/2014/main" id="{00000000-0008-0000-0800-0000C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3" name="Text Box 287">
          <a:extLst>
            <a:ext uri="{FF2B5EF4-FFF2-40B4-BE49-F238E27FC236}">
              <a16:creationId xmlns:a16="http://schemas.microsoft.com/office/drawing/2014/main" id="{00000000-0008-0000-0800-0000C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4" name="Text Box 288">
          <a:extLst>
            <a:ext uri="{FF2B5EF4-FFF2-40B4-BE49-F238E27FC236}">
              <a16:creationId xmlns:a16="http://schemas.microsoft.com/office/drawing/2014/main" id="{00000000-0008-0000-0800-0000C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5" name="Text Box 289">
          <a:extLst>
            <a:ext uri="{FF2B5EF4-FFF2-40B4-BE49-F238E27FC236}">
              <a16:creationId xmlns:a16="http://schemas.microsoft.com/office/drawing/2014/main" id="{00000000-0008-0000-0800-0000C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6" name="Text Box 290">
          <a:extLst>
            <a:ext uri="{FF2B5EF4-FFF2-40B4-BE49-F238E27FC236}">
              <a16:creationId xmlns:a16="http://schemas.microsoft.com/office/drawing/2014/main" id="{00000000-0008-0000-0800-0000C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7" name="Text Box 291">
          <a:extLst>
            <a:ext uri="{FF2B5EF4-FFF2-40B4-BE49-F238E27FC236}">
              <a16:creationId xmlns:a16="http://schemas.microsoft.com/office/drawing/2014/main" id="{00000000-0008-0000-0800-0000C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8" name="Text Box 292">
          <a:extLst>
            <a:ext uri="{FF2B5EF4-FFF2-40B4-BE49-F238E27FC236}">
              <a16:creationId xmlns:a16="http://schemas.microsoft.com/office/drawing/2014/main" id="{00000000-0008-0000-0800-0000C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9" name="Text Box 293">
          <a:extLst>
            <a:ext uri="{FF2B5EF4-FFF2-40B4-BE49-F238E27FC236}">
              <a16:creationId xmlns:a16="http://schemas.microsoft.com/office/drawing/2014/main" id="{00000000-0008-0000-0800-0000C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0" name="Text Box 294">
          <a:extLst>
            <a:ext uri="{FF2B5EF4-FFF2-40B4-BE49-F238E27FC236}">
              <a16:creationId xmlns:a16="http://schemas.microsoft.com/office/drawing/2014/main" id="{00000000-0008-0000-0800-0000C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1" name="Text Box 295">
          <a:extLst>
            <a:ext uri="{FF2B5EF4-FFF2-40B4-BE49-F238E27FC236}">
              <a16:creationId xmlns:a16="http://schemas.microsoft.com/office/drawing/2014/main" id="{00000000-0008-0000-0800-0000C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2" name="Text Box 296">
          <a:extLst>
            <a:ext uri="{FF2B5EF4-FFF2-40B4-BE49-F238E27FC236}">
              <a16:creationId xmlns:a16="http://schemas.microsoft.com/office/drawing/2014/main" id="{00000000-0008-0000-0800-0000C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3" name="Text Box 297">
          <a:extLst>
            <a:ext uri="{FF2B5EF4-FFF2-40B4-BE49-F238E27FC236}">
              <a16:creationId xmlns:a16="http://schemas.microsoft.com/office/drawing/2014/main" id="{00000000-0008-0000-0800-0000C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4" name="Text Box 298">
          <a:extLst>
            <a:ext uri="{FF2B5EF4-FFF2-40B4-BE49-F238E27FC236}">
              <a16:creationId xmlns:a16="http://schemas.microsoft.com/office/drawing/2014/main" id="{00000000-0008-0000-0800-0000D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5" name="Text Box 299">
          <a:extLst>
            <a:ext uri="{FF2B5EF4-FFF2-40B4-BE49-F238E27FC236}">
              <a16:creationId xmlns:a16="http://schemas.microsoft.com/office/drawing/2014/main" id="{00000000-0008-0000-0800-0000D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6" name="Text Box 300">
          <a:extLst>
            <a:ext uri="{FF2B5EF4-FFF2-40B4-BE49-F238E27FC236}">
              <a16:creationId xmlns:a16="http://schemas.microsoft.com/office/drawing/2014/main" id="{00000000-0008-0000-0800-0000D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7" name="Text Box 301">
          <a:extLst>
            <a:ext uri="{FF2B5EF4-FFF2-40B4-BE49-F238E27FC236}">
              <a16:creationId xmlns:a16="http://schemas.microsoft.com/office/drawing/2014/main" id="{00000000-0008-0000-0800-0000D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8" name="Text Box 302">
          <a:extLst>
            <a:ext uri="{FF2B5EF4-FFF2-40B4-BE49-F238E27FC236}">
              <a16:creationId xmlns:a16="http://schemas.microsoft.com/office/drawing/2014/main" id="{00000000-0008-0000-0800-0000D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9" name="Text Box 303">
          <a:extLst>
            <a:ext uri="{FF2B5EF4-FFF2-40B4-BE49-F238E27FC236}">
              <a16:creationId xmlns:a16="http://schemas.microsoft.com/office/drawing/2014/main" id="{00000000-0008-0000-0800-0000D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0" name="Text Box 304">
          <a:extLst>
            <a:ext uri="{FF2B5EF4-FFF2-40B4-BE49-F238E27FC236}">
              <a16:creationId xmlns:a16="http://schemas.microsoft.com/office/drawing/2014/main" id="{00000000-0008-0000-0800-0000D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1" name="Text Box 305">
          <a:extLst>
            <a:ext uri="{FF2B5EF4-FFF2-40B4-BE49-F238E27FC236}">
              <a16:creationId xmlns:a16="http://schemas.microsoft.com/office/drawing/2014/main" id="{00000000-0008-0000-0800-0000D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2" name="Text Box 306">
          <a:extLst>
            <a:ext uri="{FF2B5EF4-FFF2-40B4-BE49-F238E27FC236}">
              <a16:creationId xmlns:a16="http://schemas.microsoft.com/office/drawing/2014/main" id="{00000000-0008-0000-0800-0000D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3" name="Text Box 307">
          <a:extLst>
            <a:ext uri="{FF2B5EF4-FFF2-40B4-BE49-F238E27FC236}">
              <a16:creationId xmlns:a16="http://schemas.microsoft.com/office/drawing/2014/main" id="{00000000-0008-0000-0800-0000D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4" name="Text Box 308">
          <a:extLst>
            <a:ext uri="{FF2B5EF4-FFF2-40B4-BE49-F238E27FC236}">
              <a16:creationId xmlns:a16="http://schemas.microsoft.com/office/drawing/2014/main" id="{00000000-0008-0000-0800-0000D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5" name="Text Box 309">
          <a:extLst>
            <a:ext uri="{FF2B5EF4-FFF2-40B4-BE49-F238E27FC236}">
              <a16:creationId xmlns:a16="http://schemas.microsoft.com/office/drawing/2014/main" id="{00000000-0008-0000-0800-0000D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6" name="Text Box 310">
          <a:extLst>
            <a:ext uri="{FF2B5EF4-FFF2-40B4-BE49-F238E27FC236}">
              <a16:creationId xmlns:a16="http://schemas.microsoft.com/office/drawing/2014/main" id="{00000000-0008-0000-0800-0000D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7" name="Text Box 311">
          <a:extLst>
            <a:ext uri="{FF2B5EF4-FFF2-40B4-BE49-F238E27FC236}">
              <a16:creationId xmlns:a16="http://schemas.microsoft.com/office/drawing/2014/main" id="{00000000-0008-0000-0800-0000D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8" name="Text Box 312">
          <a:extLst>
            <a:ext uri="{FF2B5EF4-FFF2-40B4-BE49-F238E27FC236}">
              <a16:creationId xmlns:a16="http://schemas.microsoft.com/office/drawing/2014/main" id="{00000000-0008-0000-0800-0000D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9" name="Text Box 313">
          <a:extLst>
            <a:ext uri="{FF2B5EF4-FFF2-40B4-BE49-F238E27FC236}">
              <a16:creationId xmlns:a16="http://schemas.microsoft.com/office/drawing/2014/main" id="{00000000-0008-0000-0800-0000D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0" name="Text Box 314">
          <a:extLst>
            <a:ext uri="{FF2B5EF4-FFF2-40B4-BE49-F238E27FC236}">
              <a16:creationId xmlns:a16="http://schemas.microsoft.com/office/drawing/2014/main" id="{00000000-0008-0000-0800-0000E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1" name="Text Box 315">
          <a:extLst>
            <a:ext uri="{FF2B5EF4-FFF2-40B4-BE49-F238E27FC236}">
              <a16:creationId xmlns:a16="http://schemas.microsoft.com/office/drawing/2014/main" id="{00000000-0008-0000-0800-0000E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2" name="Text Box 316">
          <a:extLst>
            <a:ext uri="{FF2B5EF4-FFF2-40B4-BE49-F238E27FC236}">
              <a16:creationId xmlns:a16="http://schemas.microsoft.com/office/drawing/2014/main" id="{00000000-0008-0000-0800-0000E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3" name="Text Box 317">
          <a:extLst>
            <a:ext uri="{FF2B5EF4-FFF2-40B4-BE49-F238E27FC236}">
              <a16:creationId xmlns:a16="http://schemas.microsoft.com/office/drawing/2014/main" id="{00000000-0008-0000-0800-0000E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4" name="Text Box 318">
          <a:extLst>
            <a:ext uri="{FF2B5EF4-FFF2-40B4-BE49-F238E27FC236}">
              <a16:creationId xmlns:a16="http://schemas.microsoft.com/office/drawing/2014/main" id="{00000000-0008-0000-0800-0000E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5" name="Text Box 319">
          <a:extLst>
            <a:ext uri="{FF2B5EF4-FFF2-40B4-BE49-F238E27FC236}">
              <a16:creationId xmlns:a16="http://schemas.microsoft.com/office/drawing/2014/main" id="{00000000-0008-0000-0800-0000E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6" name="Text Box 320">
          <a:extLst>
            <a:ext uri="{FF2B5EF4-FFF2-40B4-BE49-F238E27FC236}">
              <a16:creationId xmlns:a16="http://schemas.microsoft.com/office/drawing/2014/main" id="{00000000-0008-0000-0800-0000E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7" name="Text Box 28">
          <a:extLst>
            <a:ext uri="{FF2B5EF4-FFF2-40B4-BE49-F238E27FC236}">
              <a16:creationId xmlns:a16="http://schemas.microsoft.com/office/drawing/2014/main" id="{00000000-0008-0000-0800-0000E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8" name="Text Box 29">
          <a:extLst>
            <a:ext uri="{FF2B5EF4-FFF2-40B4-BE49-F238E27FC236}">
              <a16:creationId xmlns:a16="http://schemas.microsoft.com/office/drawing/2014/main" id="{00000000-0008-0000-0800-0000E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9" name="Text Box 30">
          <a:extLst>
            <a:ext uri="{FF2B5EF4-FFF2-40B4-BE49-F238E27FC236}">
              <a16:creationId xmlns:a16="http://schemas.microsoft.com/office/drawing/2014/main" id="{00000000-0008-0000-0800-0000E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0" name="Text Box 31">
          <a:extLst>
            <a:ext uri="{FF2B5EF4-FFF2-40B4-BE49-F238E27FC236}">
              <a16:creationId xmlns:a16="http://schemas.microsoft.com/office/drawing/2014/main" id="{00000000-0008-0000-0800-0000E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1" name="Text Box 32">
          <a:extLst>
            <a:ext uri="{FF2B5EF4-FFF2-40B4-BE49-F238E27FC236}">
              <a16:creationId xmlns:a16="http://schemas.microsoft.com/office/drawing/2014/main" id="{00000000-0008-0000-0800-0000E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2" name="Text Box 33">
          <a:extLst>
            <a:ext uri="{FF2B5EF4-FFF2-40B4-BE49-F238E27FC236}">
              <a16:creationId xmlns:a16="http://schemas.microsoft.com/office/drawing/2014/main" id="{00000000-0008-0000-0800-0000E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3" name="Text Box 34">
          <a:extLst>
            <a:ext uri="{FF2B5EF4-FFF2-40B4-BE49-F238E27FC236}">
              <a16:creationId xmlns:a16="http://schemas.microsoft.com/office/drawing/2014/main" id="{00000000-0008-0000-0800-0000E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4" name="Text Box 35">
          <a:extLst>
            <a:ext uri="{FF2B5EF4-FFF2-40B4-BE49-F238E27FC236}">
              <a16:creationId xmlns:a16="http://schemas.microsoft.com/office/drawing/2014/main" id="{00000000-0008-0000-0800-0000E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5" name="Text Box 36">
          <a:extLst>
            <a:ext uri="{FF2B5EF4-FFF2-40B4-BE49-F238E27FC236}">
              <a16:creationId xmlns:a16="http://schemas.microsoft.com/office/drawing/2014/main" id="{00000000-0008-0000-0800-0000E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6" name="Text Box 37">
          <a:extLst>
            <a:ext uri="{FF2B5EF4-FFF2-40B4-BE49-F238E27FC236}">
              <a16:creationId xmlns:a16="http://schemas.microsoft.com/office/drawing/2014/main" id="{00000000-0008-0000-0800-0000F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7" name="Text Box 38">
          <a:extLst>
            <a:ext uri="{FF2B5EF4-FFF2-40B4-BE49-F238E27FC236}">
              <a16:creationId xmlns:a16="http://schemas.microsoft.com/office/drawing/2014/main" id="{00000000-0008-0000-0800-0000F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8" name="Text Box 39">
          <a:extLst>
            <a:ext uri="{FF2B5EF4-FFF2-40B4-BE49-F238E27FC236}">
              <a16:creationId xmlns:a16="http://schemas.microsoft.com/office/drawing/2014/main" id="{00000000-0008-0000-0800-0000F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9" name="Text Box 40">
          <a:extLst>
            <a:ext uri="{FF2B5EF4-FFF2-40B4-BE49-F238E27FC236}">
              <a16:creationId xmlns:a16="http://schemas.microsoft.com/office/drawing/2014/main" id="{00000000-0008-0000-0800-0000F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0" name="Text Box 41">
          <a:extLst>
            <a:ext uri="{FF2B5EF4-FFF2-40B4-BE49-F238E27FC236}">
              <a16:creationId xmlns:a16="http://schemas.microsoft.com/office/drawing/2014/main" id="{00000000-0008-0000-0800-0000F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1" name="Text Box 42">
          <a:extLst>
            <a:ext uri="{FF2B5EF4-FFF2-40B4-BE49-F238E27FC236}">
              <a16:creationId xmlns:a16="http://schemas.microsoft.com/office/drawing/2014/main" id="{00000000-0008-0000-0800-0000F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2" name="Text Box 43">
          <a:extLst>
            <a:ext uri="{FF2B5EF4-FFF2-40B4-BE49-F238E27FC236}">
              <a16:creationId xmlns:a16="http://schemas.microsoft.com/office/drawing/2014/main" id="{00000000-0008-0000-0800-0000F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3" name="Text Box 44">
          <a:extLst>
            <a:ext uri="{FF2B5EF4-FFF2-40B4-BE49-F238E27FC236}">
              <a16:creationId xmlns:a16="http://schemas.microsoft.com/office/drawing/2014/main" id="{00000000-0008-0000-0800-0000F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4" name="Text Box 45">
          <a:extLst>
            <a:ext uri="{FF2B5EF4-FFF2-40B4-BE49-F238E27FC236}">
              <a16:creationId xmlns:a16="http://schemas.microsoft.com/office/drawing/2014/main" id="{00000000-0008-0000-0800-0000F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5" name="Text Box 46">
          <a:extLst>
            <a:ext uri="{FF2B5EF4-FFF2-40B4-BE49-F238E27FC236}">
              <a16:creationId xmlns:a16="http://schemas.microsoft.com/office/drawing/2014/main" id="{00000000-0008-0000-0800-0000F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6" name="Text Box 47">
          <a:extLst>
            <a:ext uri="{FF2B5EF4-FFF2-40B4-BE49-F238E27FC236}">
              <a16:creationId xmlns:a16="http://schemas.microsoft.com/office/drawing/2014/main" id="{00000000-0008-0000-0800-0000F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7" name="Text Box 48">
          <a:extLst>
            <a:ext uri="{FF2B5EF4-FFF2-40B4-BE49-F238E27FC236}">
              <a16:creationId xmlns:a16="http://schemas.microsoft.com/office/drawing/2014/main" id="{00000000-0008-0000-0800-0000F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8" name="Text Box 49">
          <a:extLst>
            <a:ext uri="{FF2B5EF4-FFF2-40B4-BE49-F238E27FC236}">
              <a16:creationId xmlns:a16="http://schemas.microsoft.com/office/drawing/2014/main" id="{00000000-0008-0000-0800-0000F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9" name="Text Box 50">
          <a:extLst>
            <a:ext uri="{FF2B5EF4-FFF2-40B4-BE49-F238E27FC236}">
              <a16:creationId xmlns:a16="http://schemas.microsoft.com/office/drawing/2014/main" id="{00000000-0008-0000-0800-0000F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0" name="Text Box 51">
          <a:extLst>
            <a:ext uri="{FF2B5EF4-FFF2-40B4-BE49-F238E27FC236}">
              <a16:creationId xmlns:a16="http://schemas.microsoft.com/office/drawing/2014/main" id="{00000000-0008-0000-0800-0000F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1" name="Text Box 52">
          <a:extLst>
            <a:ext uri="{FF2B5EF4-FFF2-40B4-BE49-F238E27FC236}">
              <a16:creationId xmlns:a16="http://schemas.microsoft.com/office/drawing/2014/main" id="{00000000-0008-0000-0800-0000F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2" name="Text Box 53">
          <a:extLst>
            <a:ext uri="{FF2B5EF4-FFF2-40B4-BE49-F238E27FC236}">
              <a16:creationId xmlns:a16="http://schemas.microsoft.com/office/drawing/2014/main" id="{00000000-0008-0000-0800-00000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3" name="Text Box 54">
          <a:extLst>
            <a:ext uri="{FF2B5EF4-FFF2-40B4-BE49-F238E27FC236}">
              <a16:creationId xmlns:a16="http://schemas.microsoft.com/office/drawing/2014/main" id="{00000000-0008-0000-0800-00000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4" name="Text Box 55">
          <a:extLst>
            <a:ext uri="{FF2B5EF4-FFF2-40B4-BE49-F238E27FC236}">
              <a16:creationId xmlns:a16="http://schemas.microsoft.com/office/drawing/2014/main" id="{00000000-0008-0000-0800-00000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5" name="Text Box 56">
          <a:extLst>
            <a:ext uri="{FF2B5EF4-FFF2-40B4-BE49-F238E27FC236}">
              <a16:creationId xmlns:a16="http://schemas.microsoft.com/office/drawing/2014/main" id="{00000000-0008-0000-0800-00000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6" name="Text Box 57">
          <a:extLst>
            <a:ext uri="{FF2B5EF4-FFF2-40B4-BE49-F238E27FC236}">
              <a16:creationId xmlns:a16="http://schemas.microsoft.com/office/drawing/2014/main" id="{00000000-0008-0000-0800-00000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7" name="Text Box 58">
          <a:extLst>
            <a:ext uri="{FF2B5EF4-FFF2-40B4-BE49-F238E27FC236}">
              <a16:creationId xmlns:a16="http://schemas.microsoft.com/office/drawing/2014/main" id="{00000000-0008-0000-0800-00000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8" name="Text Box 59">
          <a:extLst>
            <a:ext uri="{FF2B5EF4-FFF2-40B4-BE49-F238E27FC236}">
              <a16:creationId xmlns:a16="http://schemas.microsoft.com/office/drawing/2014/main" id="{00000000-0008-0000-0800-00000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9" name="Text Box 60">
          <a:extLst>
            <a:ext uri="{FF2B5EF4-FFF2-40B4-BE49-F238E27FC236}">
              <a16:creationId xmlns:a16="http://schemas.microsoft.com/office/drawing/2014/main" id="{00000000-0008-0000-0800-00000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0" name="Text Box 61">
          <a:extLst>
            <a:ext uri="{FF2B5EF4-FFF2-40B4-BE49-F238E27FC236}">
              <a16:creationId xmlns:a16="http://schemas.microsoft.com/office/drawing/2014/main" id="{00000000-0008-0000-0800-00000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1" name="Text Box 62">
          <a:extLst>
            <a:ext uri="{FF2B5EF4-FFF2-40B4-BE49-F238E27FC236}">
              <a16:creationId xmlns:a16="http://schemas.microsoft.com/office/drawing/2014/main" id="{00000000-0008-0000-0800-00000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2" name="Text Box 63">
          <a:extLst>
            <a:ext uri="{FF2B5EF4-FFF2-40B4-BE49-F238E27FC236}">
              <a16:creationId xmlns:a16="http://schemas.microsoft.com/office/drawing/2014/main" id="{00000000-0008-0000-0800-00000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3" name="Text Box 64">
          <a:extLst>
            <a:ext uri="{FF2B5EF4-FFF2-40B4-BE49-F238E27FC236}">
              <a16:creationId xmlns:a16="http://schemas.microsoft.com/office/drawing/2014/main" id="{00000000-0008-0000-0800-00000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4" name="Text Box 65">
          <a:extLst>
            <a:ext uri="{FF2B5EF4-FFF2-40B4-BE49-F238E27FC236}">
              <a16:creationId xmlns:a16="http://schemas.microsoft.com/office/drawing/2014/main" id="{00000000-0008-0000-0800-00000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5" name="Text Box 66">
          <a:extLst>
            <a:ext uri="{FF2B5EF4-FFF2-40B4-BE49-F238E27FC236}">
              <a16:creationId xmlns:a16="http://schemas.microsoft.com/office/drawing/2014/main" id="{00000000-0008-0000-0800-00000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6" name="Text Box 67">
          <a:extLst>
            <a:ext uri="{FF2B5EF4-FFF2-40B4-BE49-F238E27FC236}">
              <a16:creationId xmlns:a16="http://schemas.microsoft.com/office/drawing/2014/main" id="{00000000-0008-0000-0800-00000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7" name="Text Box 68">
          <a:extLst>
            <a:ext uri="{FF2B5EF4-FFF2-40B4-BE49-F238E27FC236}">
              <a16:creationId xmlns:a16="http://schemas.microsoft.com/office/drawing/2014/main" id="{00000000-0008-0000-0800-00000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8" name="Text Box 69">
          <a:extLst>
            <a:ext uri="{FF2B5EF4-FFF2-40B4-BE49-F238E27FC236}">
              <a16:creationId xmlns:a16="http://schemas.microsoft.com/office/drawing/2014/main" id="{00000000-0008-0000-0800-00001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9" name="Text Box 70">
          <a:extLst>
            <a:ext uri="{FF2B5EF4-FFF2-40B4-BE49-F238E27FC236}">
              <a16:creationId xmlns:a16="http://schemas.microsoft.com/office/drawing/2014/main" id="{00000000-0008-0000-0800-00001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0" name="Text Box 71">
          <a:extLst>
            <a:ext uri="{FF2B5EF4-FFF2-40B4-BE49-F238E27FC236}">
              <a16:creationId xmlns:a16="http://schemas.microsoft.com/office/drawing/2014/main" id="{00000000-0008-0000-0800-00001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1" name="Text Box 72">
          <a:extLst>
            <a:ext uri="{FF2B5EF4-FFF2-40B4-BE49-F238E27FC236}">
              <a16:creationId xmlns:a16="http://schemas.microsoft.com/office/drawing/2014/main" id="{00000000-0008-0000-0800-00001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2" name="Text Box 73">
          <a:extLst>
            <a:ext uri="{FF2B5EF4-FFF2-40B4-BE49-F238E27FC236}">
              <a16:creationId xmlns:a16="http://schemas.microsoft.com/office/drawing/2014/main" id="{00000000-0008-0000-0800-00001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3" name="Text Box 74">
          <a:extLst>
            <a:ext uri="{FF2B5EF4-FFF2-40B4-BE49-F238E27FC236}">
              <a16:creationId xmlns:a16="http://schemas.microsoft.com/office/drawing/2014/main" id="{00000000-0008-0000-0800-00001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4" name="Text Box 75">
          <a:extLst>
            <a:ext uri="{FF2B5EF4-FFF2-40B4-BE49-F238E27FC236}">
              <a16:creationId xmlns:a16="http://schemas.microsoft.com/office/drawing/2014/main" id="{00000000-0008-0000-0800-00001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5" name="Text Box 76">
          <a:extLst>
            <a:ext uri="{FF2B5EF4-FFF2-40B4-BE49-F238E27FC236}">
              <a16:creationId xmlns:a16="http://schemas.microsoft.com/office/drawing/2014/main" id="{00000000-0008-0000-0800-00001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6" name="Text Box 77">
          <a:extLst>
            <a:ext uri="{FF2B5EF4-FFF2-40B4-BE49-F238E27FC236}">
              <a16:creationId xmlns:a16="http://schemas.microsoft.com/office/drawing/2014/main" id="{00000000-0008-0000-0800-00001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7" name="Text Box 78">
          <a:extLst>
            <a:ext uri="{FF2B5EF4-FFF2-40B4-BE49-F238E27FC236}">
              <a16:creationId xmlns:a16="http://schemas.microsoft.com/office/drawing/2014/main" id="{00000000-0008-0000-0800-00001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8" name="Text Box 79">
          <a:extLst>
            <a:ext uri="{FF2B5EF4-FFF2-40B4-BE49-F238E27FC236}">
              <a16:creationId xmlns:a16="http://schemas.microsoft.com/office/drawing/2014/main" id="{00000000-0008-0000-0800-00001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9" name="Text Box 80">
          <a:extLst>
            <a:ext uri="{FF2B5EF4-FFF2-40B4-BE49-F238E27FC236}">
              <a16:creationId xmlns:a16="http://schemas.microsoft.com/office/drawing/2014/main" id="{00000000-0008-0000-0800-00001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0" name="Text Box 81">
          <a:extLst>
            <a:ext uri="{FF2B5EF4-FFF2-40B4-BE49-F238E27FC236}">
              <a16:creationId xmlns:a16="http://schemas.microsoft.com/office/drawing/2014/main" id="{00000000-0008-0000-0800-00001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1" name="Text Box 82">
          <a:extLst>
            <a:ext uri="{FF2B5EF4-FFF2-40B4-BE49-F238E27FC236}">
              <a16:creationId xmlns:a16="http://schemas.microsoft.com/office/drawing/2014/main" id="{00000000-0008-0000-0800-00001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2" name="Text Box 83">
          <a:extLst>
            <a:ext uri="{FF2B5EF4-FFF2-40B4-BE49-F238E27FC236}">
              <a16:creationId xmlns:a16="http://schemas.microsoft.com/office/drawing/2014/main" id="{00000000-0008-0000-0800-00001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3" name="Text Box 84">
          <a:extLst>
            <a:ext uri="{FF2B5EF4-FFF2-40B4-BE49-F238E27FC236}">
              <a16:creationId xmlns:a16="http://schemas.microsoft.com/office/drawing/2014/main" id="{00000000-0008-0000-0800-00001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4" name="Text Box 85">
          <a:extLst>
            <a:ext uri="{FF2B5EF4-FFF2-40B4-BE49-F238E27FC236}">
              <a16:creationId xmlns:a16="http://schemas.microsoft.com/office/drawing/2014/main" id="{00000000-0008-0000-0800-00002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5" name="Text Box 86">
          <a:extLst>
            <a:ext uri="{FF2B5EF4-FFF2-40B4-BE49-F238E27FC236}">
              <a16:creationId xmlns:a16="http://schemas.microsoft.com/office/drawing/2014/main" id="{00000000-0008-0000-0800-00002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6" name="Text Box 87">
          <a:extLst>
            <a:ext uri="{FF2B5EF4-FFF2-40B4-BE49-F238E27FC236}">
              <a16:creationId xmlns:a16="http://schemas.microsoft.com/office/drawing/2014/main" id="{00000000-0008-0000-0800-00002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7" name="Text Box 88">
          <a:extLst>
            <a:ext uri="{FF2B5EF4-FFF2-40B4-BE49-F238E27FC236}">
              <a16:creationId xmlns:a16="http://schemas.microsoft.com/office/drawing/2014/main" id="{00000000-0008-0000-0800-00002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8" name="Text Box 89">
          <a:extLst>
            <a:ext uri="{FF2B5EF4-FFF2-40B4-BE49-F238E27FC236}">
              <a16:creationId xmlns:a16="http://schemas.microsoft.com/office/drawing/2014/main" id="{00000000-0008-0000-0800-00002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9" name="Text Box 90">
          <a:extLst>
            <a:ext uri="{FF2B5EF4-FFF2-40B4-BE49-F238E27FC236}">
              <a16:creationId xmlns:a16="http://schemas.microsoft.com/office/drawing/2014/main" id="{00000000-0008-0000-0800-00002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0" name="Text Box 91">
          <a:extLst>
            <a:ext uri="{FF2B5EF4-FFF2-40B4-BE49-F238E27FC236}">
              <a16:creationId xmlns:a16="http://schemas.microsoft.com/office/drawing/2014/main" id="{00000000-0008-0000-0800-00002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1" name="Text Box 92">
          <a:extLst>
            <a:ext uri="{FF2B5EF4-FFF2-40B4-BE49-F238E27FC236}">
              <a16:creationId xmlns:a16="http://schemas.microsoft.com/office/drawing/2014/main" id="{00000000-0008-0000-0800-00002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2" name="Text Box 93">
          <a:extLst>
            <a:ext uri="{FF2B5EF4-FFF2-40B4-BE49-F238E27FC236}">
              <a16:creationId xmlns:a16="http://schemas.microsoft.com/office/drawing/2014/main" id="{00000000-0008-0000-0800-00002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3" name="Text Box 94">
          <a:extLst>
            <a:ext uri="{FF2B5EF4-FFF2-40B4-BE49-F238E27FC236}">
              <a16:creationId xmlns:a16="http://schemas.microsoft.com/office/drawing/2014/main" id="{00000000-0008-0000-0800-00002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4" name="Text Box 95">
          <a:extLst>
            <a:ext uri="{FF2B5EF4-FFF2-40B4-BE49-F238E27FC236}">
              <a16:creationId xmlns:a16="http://schemas.microsoft.com/office/drawing/2014/main" id="{00000000-0008-0000-0800-00002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5" name="Text Box 96">
          <a:extLst>
            <a:ext uri="{FF2B5EF4-FFF2-40B4-BE49-F238E27FC236}">
              <a16:creationId xmlns:a16="http://schemas.microsoft.com/office/drawing/2014/main" id="{00000000-0008-0000-0800-00002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6" name="Text Box 97">
          <a:extLst>
            <a:ext uri="{FF2B5EF4-FFF2-40B4-BE49-F238E27FC236}">
              <a16:creationId xmlns:a16="http://schemas.microsoft.com/office/drawing/2014/main" id="{00000000-0008-0000-0800-00002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7" name="Text Box 100">
          <a:extLst>
            <a:ext uri="{FF2B5EF4-FFF2-40B4-BE49-F238E27FC236}">
              <a16:creationId xmlns:a16="http://schemas.microsoft.com/office/drawing/2014/main" id="{00000000-0008-0000-0800-00002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8" name="Text Box 101">
          <a:extLst>
            <a:ext uri="{FF2B5EF4-FFF2-40B4-BE49-F238E27FC236}">
              <a16:creationId xmlns:a16="http://schemas.microsoft.com/office/drawing/2014/main" id="{00000000-0008-0000-0800-00002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9" name="Text Box 102">
          <a:extLst>
            <a:ext uri="{FF2B5EF4-FFF2-40B4-BE49-F238E27FC236}">
              <a16:creationId xmlns:a16="http://schemas.microsoft.com/office/drawing/2014/main" id="{00000000-0008-0000-0800-00002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0" name="Text Box 103">
          <a:extLst>
            <a:ext uri="{FF2B5EF4-FFF2-40B4-BE49-F238E27FC236}">
              <a16:creationId xmlns:a16="http://schemas.microsoft.com/office/drawing/2014/main" id="{00000000-0008-0000-0800-00003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1" name="Text Box 104">
          <a:extLst>
            <a:ext uri="{FF2B5EF4-FFF2-40B4-BE49-F238E27FC236}">
              <a16:creationId xmlns:a16="http://schemas.microsoft.com/office/drawing/2014/main" id="{00000000-0008-0000-0800-00003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2" name="Text Box 105">
          <a:extLst>
            <a:ext uri="{FF2B5EF4-FFF2-40B4-BE49-F238E27FC236}">
              <a16:creationId xmlns:a16="http://schemas.microsoft.com/office/drawing/2014/main" id="{00000000-0008-0000-0800-00003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3" name="Text Box 106">
          <a:extLst>
            <a:ext uri="{FF2B5EF4-FFF2-40B4-BE49-F238E27FC236}">
              <a16:creationId xmlns:a16="http://schemas.microsoft.com/office/drawing/2014/main" id="{00000000-0008-0000-0800-00003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4" name="Text Box 107">
          <a:extLst>
            <a:ext uri="{FF2B5EF4-FFF2-40B4-BE49-F238E27FC236}">
              <a16:creationId xmlns:a16="http://schemas.microsoft.com/office/drawing/2014/main" id="{00000000-0008-0000-0800-00003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5" name="Text Box 108">
          <a:extLst>
            <a:ext uri="{FF2B5EF4-FFF2-40B4-BE49-F238E27FC236}">
              <a16:creationId xmlns:a16="http://schemas.microsoft.com/office/drawing/2014/main" id="{00000000-0008-0000-0800-00003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6" name="Text Box 109">
          <a:extLst>
            <a:ext uri="{FF2B5EF4-FFF2-40B4-BE49-F238E27FC236}">
              <a16:creationId xmlns:a16="http://schemas.microsoft.com/office/drawing/2014/main" id="{00000000-0008-0000-0800-00003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7" name="Text Box 110">
          <a:extLst>
            <a:ext uri="{FF2B5EF4-FFF2-40B4-BE49-F238E27FC236}">
              <a16:creationId xmlns:a16="http://schemas.microsoft.com/office/drawing/2014/main" id="{00000000-0008-0000-0800-00003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8" name="Text Box 111">
          <a:extLst>
            <a:ext uri="{FF2B5EF4-FFF2-40B4-BE49-F238E27FC236}">
              <a16:creationId xmlns:a16="http://schemas.microsoft.com/office/drawing/2014/main" id="{00000000-0008-0000-0800-00003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9" name="Text Box 119">
          <a:extLst>
            <a:ext uri="{FF2B5EF4-FFF2-40B4-BE49-F238E27FC236}">
              <a16:creationId xmlns:a16="http://schemas.microsoft.com/office/drawing/2014/main" id="{00000000-0008-0000-0800-00003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0" name="Text Box 120">
          <a:extLst>
            <a:ext uri="{FF2B5EF4-FFF2-40B4-BE49-F238E27FC236}">
              <a16:creationId xmlns:a16="http://schemas.microsoft.com/office/drawing/2014/main" id="{00000000-0008-0000-0800-00003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1" name="Text Box 121">
          <a:extLst>
            <a:ext uri="{FF2B5EF4-FFF2-40B4-BE49-F238E27FC236}">
              <a16:creationId xmlns:a16="http://schemas.microsoft.com/office/drawing/2014/main" id="{00000000-0008-0000-0800-00003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2" name="Text Box 122">
          <a:extLst>
            <a:ext uri="{FF2B5EF4-FFF2-40B4-BE49-F238E27FC236}">
              <a16:creationId xmlns:a16="http://schemas.microsoft.com/office/drawing/2014/main" id="{00000000-0008-0000-0800-00003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3" name="Text Box 123">
          <a:extLst>
            <a:ext uri="{FF2B5EF4-FFF2-40B4-BE49-F238E27FC236}">
              <a16:creationId xmlns:a16="http://schemas.microsoft.com/office/drawing/2014/main" id="{00000000-0008-0000-0800-00003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4" name="Text Box 124">
          <a:extLst>
            <a:ext uri="{FF2B5EF4-FFF2-40B4-BE49-F238E27FC236}">
              <a16:creationId xmlns:a16="http://schemas.microsoft.com/office/drawing/2014/main" id="{00000000-0008-0000-0800-00003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5" name="Text Box 125">
          <a:extLst>
            <a:ext uri="{FF2B5EF4-FFF2-40B4-BE49-F238E27FC236}">
              <a16:creationId xmlns:a16="http://schemas.microsoft.com/office/drawing/2014/main" id="{00000000-0008-0000-0800-00003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6" name="Text Box 126">
          <a:extLst>
            <a:ext uri="{FF2B5EF4-FFF2-40B4-BE49-F238E27FC236}">
              <a16:creationId xmlns:a16="http://schemas.microsoft.com/office/drawing/2014/main" id="{00000000-0008-0000-0800-00004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7" name="Text Box 127">
          <a:extLst>
            <a:ext uri="{FF2B5EF4-FFF2-40B4-BE49-F238E27FC236}">
              <a16:creationId xmlns:a16="http://schemas.microsoft.com/office/drawing/2014/main" id="{00000000-0008-0000-0800-00004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8" name="Text Box 128">
          <a:extLst>
            <a:ext uri="{FF2B5EF4-FFF2-40B4-BE49-F238E27FC236}">
              <a16:creationId xmlns:a16="http://schemas.microsoft.com/office/drawing/2014/main" id="{00000000-0008-0000-0800-00004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9" name="Text Box 129">
          <a:extLst>
            <a:ext uri="{FF2B5EF4-FFF2-40B4-BE49-F238E27FC236}">
              <a16:creationId xmlns:a16="http://schemas.microsoft.com/office/drawing/2014/main" id="{00000000-0008-0000-0800-00004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60" name="Text Box 130">
          <a:extLst>
            <a:ext uri="{FF2B5EF4-FFF2-40B4-BE49-F238E27FC236}">
              <a16:creationId xmlns:a16="http://schemas.microsoft.com/office/drawing/2014/main" id="{00000000-0008-0000-0800-00004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1" name="Text Box 133">
          <a:extLst>
            <a:ext uri="{FF2B5EF4-FFF2-40B4-BE49-F238E27FC236}">
              <a16:creationId xmlns:a16="http://schemas.microsoft.com/office/drawing/2014/main" id="{00000000-0008-0000-0800-00004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2" name="Text Box 134">
          <a:extLst>
            <a:ext uri="{FF2B5EF4-FFF2-40B4-BE49-F238E27FC236}">
              <a16:creationId xmlns:a16="http://schemas.microsoft.com/office/drawing/2014/main" id="{00000000-0008-0000-0800-00004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3" name="Text Box 135">
          <a:extLst>
            <a:ext uri="{FF2B5EF4-FFF2-40B4-BE49-F238E27FC236}">
              <a16:creationId xmlns:a16="http://schemas.microsoft.com/office/drawing/2014/main" id="{00000000-0008-0000-0800-00004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4" name="Text Box 136">
          <a:extLst>
            <a:ext uri="{FF2B5EF4-FFF2-40B4-BE49-F238E27FC236}">
              <a16:creationId xmlns:a16="http://schemas.microsoft.com/office/drawing/2014/main" id="{00000000-0008-0000-0800-00004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5" name="Text Box 137">
          <a:extLst>
            <a:ext uri="{FF2B5EF4-FFF2-40B4-BE49-F238E27FC236}">
              <a16:creationId xmlns:a16="http://schemas.microsoft.com/office/drawing/2014/main" id="{00000000-0008-0000-0800-00004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6" name="Text Box 138">
          <a:extLst>
            <a:ext uri="{FF2B5EF4-FFF2-40B4-BE49-F238E27FC236}">
              <a16:creationId xmlns:a16="http://schemas.microsoft.com/office/drawing/2014/main" id="{00000000-0008-0000-0800-00004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7" name="Text Box 139">
          <a:extLst>
            <a:ext uri="{FF2B5EF4-FFF2-40B4-BE49-F238E27FC236}">
              <a16:creationId xmlns:a16="http://schemas.microsoft.com/office/drawing/2014/main" id="{00000000-0008-0000-0800-00004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8" name="Text Box 140">
          <a:extLst>
            <a:ext uri="{FF2B5EF4-FFF2-40B4-BE49-F238E27FC236}">
              <a16:creationId xmlns:a16="http://schemas.microsoft.com/office/drawing/2014/main" id="{00000000-0008-0000-0800-00004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9" name="Text Box 141">
          <a:extLst>
            <a:ext uri="{FF2B5EF4-FFF2-40B4-BE49-F238E27FC236}">
              <a16:creationId xmlns:a16="http://schemas.microsoft.com/office/drawing/2014/main" id="{00000000-0008-0000-0800-00004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0" name="Text Box 142">
          <a:extLst>
            <a:ext uri="{FF2B5EF4-FFF2-40B4-BE49-F238E27FC236}">
              <a16:creationId xmlns:a16="http://schemas.microsoft.com/office/drawing/2014/main" id="{00000000-0008-0000-0800-00004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1" name="Text Box 143">
          <a:extLst>
            <a:ext uri="{FF2B5EF4-FFF2-40B4-BE49-F238E27FC236}">
              <a16:creationId xmlns:a16="http://schemas.microsoft.com/office/drawing/2014/main" id="{00000000-0008-0000-0800-00004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2" name="Text Box 144">
          <a:extLst>
            <a:ext uri="{FF2B5EF4-FFF2-40B4-BE49-F238E27FC236}">
              <a16:creationId xmlns:a16="http://schemas.microsoft.com/office/drawing/2014/main" id="{00000000-0008-0000-0800-00005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3" name="Text Box 145">
          <a:extLst>
            <a:ext uri="{FF2B5EF4-FFF2-40B4-BE49-F238E27FC236}">
              <a16:creationId xmlns:a16="http://schemas.microsoft.com/office/drawing/2014/main" id="{00000000-0008-0000-0800-00005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4" name="Text Box 146">
          <a:extLst>
            <a:ext uri="{FF2B5EF4-FFF2-40B4-BE49-F238E27FC236}">
              <a16:creationId xmlns:a16="http://schemas.microsoft.com/office/drawing/2014/main" id="{00000000-0008-0000-0800-00005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5" name="Text Box 147">
          <a:extLst>
            <a:ext uri="{FF2B5EF4-FFF2-40B4-BE49-F238E27FC236}">
              <a16:creationId xmlns:a16="http://schemas.microsoft.com/office/drawing/2014/main" id="{00000000-0008-0000-0800-00005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6" name="Text Box 148">
          <a:extLst>
            <a:ext uri="{FF2B5EF4-FFF2-40B4-BE49-F238E27FC236}">
              <a16:creationId xmlns:a16="http://schemas.microsoft.com/office/drawing/2014/main" id="{00000000-0008-0000-0800-00005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7" name="Text Box 149">
          <a:extLst>
            <a:ext uri="{FF2B5EF4-FFF2-40B4-BE49-F238E27FC236}">
              <a16:creationId xmlns:a16="http://schemas.microsoft.com/office/drawing/2014/main" id="{00000000-0008-0000-0800-00005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8" name="Text Box 150">
          <a:extLst>
            <a:ext uri="{FF2B5EF4-FFF2-40B4-BE49-F238E27FC236}">
              <a16:creationId xmlns:a16="http://schemas.microsoft.com/office/drawing/2014/main" id="{00000000-0008-0000-0800-00005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9" name="Text Box 151">
          <a:extLst>
            <a:ext uri="{FF2B5EF4-FFF2-40B4-BE49-F238E27FC236}">
              <a16:creationId xmlns:a16="http://schemas.microsoft.com/office/drawing/2014/main" id="{00000000-0008-0000-0800-00005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0" name="Text Box 152">
          <a:extLst>
            <a:ext uri="{FF2B5EF4-FFF2-40B4-BE49-F238E27FC236}">
              <a16:creationId xmlns:a16="http://schemas.microsoft.com/office/drawing/2014/main" id="{00000000-0008-0000-0800-00005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1" name="Text Box 153">
          <a:extLst>
            <a:ext uri="{FF2B5EF4-FFF2-40B4-BE49-F238E27FC236}">
              <a16:creationId xmlns:a16="http://schemas.microsoft.com/office/drawing/2014/main" id="{00000000-0008-0000-0800-00005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2" name="Text Box 154">
          <a:extLst>
            <a:ext uri="{FF2B5EF4-FFF2-40B4-BE49-F238E27FC236}">
              <a16:creationId xmlns:a16="http://schemas.microsoft.com/office/drawing/2014/main" id="{00000000-0008-0000-0800-00005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3" name="Text Box 155">
          <a:extLst>
            <a:ext uri="{FF2B5EF4-FFF2-40B4-BE49-F238E27FC236}">
              <a16:creationId xmlns:a16="http://schemas.microsoft.com/office/drawing/2014/main" id="{00000000-0008-0000-0800-00005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4" name="Text Box 156">
          <a:extLst>
            <a:ext uri="{FF2B5EF4-FFF2-40B4-BE49-F238E27FC236}">
              <a16:creationId xmlns:a16="http://schemas.microsoft.com/office/drawing/2014/main" id="{00000000-0008-0000-0800-00005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5" name="Text Box 157">
          <a:extLst>
            <a:ext uri="{FF2B5EF4-FFF2-40B4-BE49-F238E27FC236}">
              <a16:creationId xmlns:a16="http://schemas.microsoft.com/office/drawing/2014/main" id="{00000000-0008-0000-0800-00005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6" name="Text Box 158">
          <a:extLst>
            <a:ext uri="{FF2B5EF4-FFF2-40B4-BE49-F238E27FC236}">
              <a16:creationId xmlns:a16="http://schemas.microsoft.com/office/drawing/2014/main" id="{00000000-0008-0000-0800-00005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7" name="Text Box 159">
          <a:extLst>
            <a:ext uri="{FF2B5EF4-FFF2-40B4-BE49-F238E27FC236}">
              <a16:creationId xmlns:a16="http://schemas.microsoft.com/office/drawing/2014/main" id="{00000000-0008-0000-0800-00005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8" name="Text Box 160">
          <a:extLst>
            <a:ext uri="{FF2B5EF4-FFF2-40B4-BE49-F238E27FC236}">
              <a16:creationId xmlns:a16="http://schemas.microsoft.com/office/drawing/2014/main" id="{00000000-0008-0000-0800-00006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9" name="Text Box 161">
          <a:extLst>
            <a:ext uri="{FF2B5EF4-FFF2-40B4-BE49-F238E27FC236}">
              <a16:creationId xmlns:a16="http://schemas.microsoft.com/office/drawing/2014/main" id="{00000000-0008-0000-0800-00006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0" name="Text Box 162">
          <a:extLst>
            <a:ext uri="{FF2B5EF4-FFF2-40B4-BE49-F238E27FC236}">
              <a16:creationId xmlns:a16="http://schemas.microsoft.com/office/drawing/2014/main" id="{00000000-0008-0000-0800-00006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1" name="Text Box 163">
          <a:extLst>
            <a:ext uri="{FF2B5EF4-FFF2-40B4-BE49-F238E27FC236}">
              <a16:creationId xmlns:a16="http://schemas.microsoft.com/office/drawing/2014/main" id="{00000000-0008-0000-0800-00006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2" name="Text Box 164">
          <a:extLst>
            <a:ext uri="{FF2B5EF4-FFF2-40B4-BE49-F238E27FC236}">
              <a16:creationId xmlns:a16="http://schemas.microsoft.com/office/drawing/2014/main" id="{00000000-0008-0000-0800-00006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3" name="Text Box 165">
          <a:extLst>
            <a:ext uri="{FF2B5EF4-FFF2-40B4-BE49-F238E27FC236}">
              <a16:creationId xmlns:a16="http://schemas.microsoft.com/office/drawing/2014/main" id="{00000000-0008-0000-0800-00006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4" name="Text Box 166">
          <a:extLst>
            <a:ext uri="{FF2B5EF4-FFF2-40B4-BE49-F238E27FC236}">
              <a16:creationId xmlns:a16="http://schemas.microsoft.com/office/drawing/2014/main" id="{00000000-0008-0000-0800-00006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5" name="Text Box 167">
          <a:extLst>
            <a:ext uri="{FF2B5EF4-FFF2-40B4-BE49-F238E27FC236}">
              <a16:creationId xmlns:a16="http://schemas.microsoft.com/office/drawing/2014/main" id="{00000000-0008-0000-0800-00006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6" name="Text Box 168">
          <a:extLst>
            <a:ext uri="{FF2B5EF4-FFF2-40B4-BE49-F238E27FC236}">
              <a16:creationId xmlns:a16="http://schemas.microsoft.com/office/drawing/2014/main" id="{00000000-0008-0000-0800-00006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7" name="Text Box 169">
          <a:extLst>
            <a:ext uri="{FF2B5EF4-FFF2-40B4-BE49-F238E27FC236}">
              <a16:creationId xmlns:a16="http://schemas.microsoft.com/office/drawing/2014/main" id="{00000000-0008-0000-0800-00006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8" name="Text Box 170">
          <a:extLst>
            <a:ext uri="{FF2B5EF4-FFF2-40B4-BE49-F238E27FC236}">
              <a16:creationId xmlns:a16="http://schemas.microsoft.com/office/drawing/2014/main" id="{00000000-0008-0000-0800-00006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9" name="Text Box 171">
          <a:extLst>
            <a:ext uri="{FF2B5EF4-FFF2-40B4-BE49-F238E27FC236}">
              <a16:creationId xmlns:a16="http://schemas.microsoft.com/office/drawing/2014/main" id="{00000000-0008-0000-0800-00006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0" name="Text Box 172">
          <a:extLst>
            <a:ext uri="{FF2B5EF4-FFF2-40B4-BE49-F238E27FC236}">
              <a16:creationId xmlns:a16="http://schemas.microsoft.com/office/drawing/2014/main" id="{00000000-0008-0000-0800-00006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1" name="Text Box 173">
          <a:extLst>
            <a:ext uri="{FF2B5EF4-FFF2-40B4-BE49-F238E27FC236}">
              <a16:creationId xmlns:a16="http://schemas.microsoft.com/office/drawing/2014/main" id="{00000000-0008-0000-0800-00006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2" name="Text Box 174">
          <a:extLst>
            <a:ext uri="{FF2B5EF4-FFF2-40B4-BE49-F238E27FC236}">
              <a16:creationId xmlns:a16="http://schemas.microsoft.com/office/drawing/2014/main" id="{00000000-0008-0000-0800-00006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3" name="Text Box 175">
          <a:extLst>
            <a:ext uri="{FF2B5EF4-FFF2-40B4-BE49-F238E27FC236}">
              <a16:creationId xmlns:a16="http://schemas.microsoft.com/office/drawing/2014/main" id="{00000000-0008-0000-0800-00006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4" name="Text Box 176">
          <a:extLst>
            <a:ext uri="{FF2B5EF4-FFF2-40B4-BE49-F238E27FC236}">
              <a16:creationId xmlns:a16="http://schemas.microsoft.com/office/drawing/2014/main" id="{00000000-0008-0000-0800-00007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5" name="Text Box 177">
          <a:extLst>
            <a:ext uri="{FF2B5EF4-FFF2-40B4-BE49-F238E27FC236}">
              <a16:creationId xmlns:a16="http://schemas.microsoft.com/office/drawing/2014/main" id="{00000000-0008-0000-0800-00007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6" name="Text Box 178">
          <a:extLst>
            <a:ext uri="{FF2B5EF4-FFF2-40B4-BE49-F238E27FC236}">
              <a16:creationId xmlns:a16="http://schemas.microsoft.com/office/drawing/2014/main" id="{00000000-0008-0000-0800-00007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7" name="Text Box 179">
          <a:extLst>
            <a:ext uri="{FF2B5EF4-FFF2-40B4-BE49-F238E27FC236}">
              <a16:creationId xmlns:a16="http://schemas.microsoft.com/office/drawing/2014/main" id="{00000000-0008-0000-0800-00007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8" name="Text Box 180">
          <a:extLst>
            <a:ext uri="{FF2B5EF4-FFF2-40B4-BE49-F238E27FC236}">
              <a16:creationId xmlns:a16="http://schemas.microsoft.com/office/drawing/2014/main" id="{00000000-0008-0000-0800-00007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9" name="Text Box 181">
          <a:extLst>
            <a:ext uri="{FF2B5EF4-FFF2-40B4-BE49-F238E27FC236}">
              <a16:creationId xmlns:a16="http://schemas.microsoft.com/office/drawing/2014/main" id="{00000000-0008-0000-0800-00007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0" name="Text Box 182">
          <a:extLst>
            <a:ext uri="{FF2B5EF4-FFF2-40B4-BE49-F238E27FC236}">
              <a16:creationId xmlns:a16="http://schemas.microsoft.com/office/drawing/2014/main" id="{00000000-0008-0000-0800-00007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1" name="Text Box 183">
          <a:extLst>
            <a:ext uri="{FF2B5EF4-FFF2-40B4-BE49-F238E27FC236}">
              <a16:creationId xmlns:a16="http://schemas.microsoft.com/office/drawing/2014/main" id="{00000000-0008-0000-0800-00007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2" name="Text Box 184">
          <a:extLst>
            <a:ext uri="{FF2B5EF4-FFF2-40B4-BE49-F238E27FC236}">
              <a16:creationId xmlns:a16="http://schemas.microsoft.com/office/drawing/2014/main" id="{00000000-0008-0000-0800-00007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3" name="Text Box 185">
          <a:extLst>
            <a:ext uri="{FF2B5EF4-FFF2-40B4-BE49-F238E27FC236}">
              <a16:creationId xmlns:a16="http://schemas.microsoft.com/office/drawing/2014/main" id="{00000000-0008-0000-0800-00007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4" name="Text Box 186">
          <a:extLst>
            <a:ext uri="{FF2B5EF4-FFF2-40B4-BE49-F238E27FC236}">
              <a16:creationId xmlns:a16="http://schemas.microsoft.com/office/drawing/2014/main" id="{00000000-0008-0000-0800-00007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5" name="Text Box 187">
          <a:extLst>
            <a:ext uri="{FF2B5EF4-FFF2-40B4-BE49-F238E27FC236}">
              <a16:creationId xmlns:a16="http://schemas.microsoft.com/office/drawing/2014/main" id="{00000000-0008-0000-0800-00007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6" name="Text Box 188">
          <a:extLst>
            <a:ext uri="{FF2B5EF4-FFF2-40B4-BE49-F238E27FC236}">
              <a16:creationId xmlns:a16="http://schemas.microsoft.com/office/drawing/2014/main" id="{00000000-0008-0000-0800-00007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7" name="Text Box 189">
          <a:extLst>
            <a:ext uri="{FF2B5EF4-FFF2-40B4-BE49-F238E27FC236}">
              <a16:creationId xmlns:a16="http://schemas.microsoft.com/office/drawing/2014/main" id="{00000000-0008-0000-0800-00007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8" name="Text Box 190">
          <a:extLst>
            <a:ext uri="{FF2B5EF4-FFF2-40B4-BE49-F238E27FC236}">
              <a16:creationId xmlns:a16="http://schemas.microsoft.com/office/drawing/2014/main" id="{00000000-0008-0000-0800-00007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9" name="Text Box 191">
          <a:extLst>
            <a:ext uri="{FF2B5EF4-FFF2-40B4-BE49-F238E27FC236}">
              <a16:creationId xmlns:a16="http://schemas.microsoft.com/office/drawing/2014/main" id="{00000000-0008-0000-0800-00007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0" name="Text Box 192">
          <a:extLst>
            <a:ext uri="{FF2B5EF4-FFF2-40B4-BE49-F238E27FC236}">
              <a16:creationId xmlns:a16="http://schemas.microsoft.com/office/drawing/2014/main" id="{00000000-0008-0000-0800-00008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1" name="Text Box 193">
          <a:extLst>
            <a:ext uri="{FF2B5EF4-FFF2-40B4-BE49-F238E27FC236}">
              <a16:creationId xmlns:a16="http://schemas.microsoft.com/office/drawing/2014/main" id="{00000000-0008-0000-0800-00008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2" name="Text Box 194">
          <a:extLst>
            <a:ext uri="{FF2B5EF4-FFF2-40B4-BE49-F238E27FC236}">
              <a16:creationId xmlns:a16="http://schemas.microsoft.com/office/drawing/2014/main" id="{00000000-0008-0000-0800-00008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3" name="Text Box 195">
          <a:extLst>
            <a:ext uri="{FF2B5EF4-FFF2-40B4-BE49-F238E27FC236}">
              <a16:creationId xmlns:a16="http://schemas.microsoft.com/office/drawing/2014/main" id="{00000000-0008-0000-0800-00008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4" name="Text Box 196">
          <a:extLst>
            <a:ext uri="{FF2B5EF4-FFF2-40B4-BE49-F238E27FC236}">
              <a16:creationId xmlns:a16="http://schemas.microsoft.com/office/drawing/2014/main" id="{00000000-0008-0000-0800-00008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5" name="Text Box 197">
          <a:extLst>
            <a:ext uri="{FF2B5EF4-FFF2-40B4-BE49-F238E27FC236}">
              <a16:creationId xmlns:a16="http://schemas.microsoft.com/office/drawing/2014/main" id="{00000000-0008-0000-0800-00008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6" name="Text Box 198">
          <a:extLst>
            <a:ext uri="{FF2B5EF4-FFF2-40B4-BE49-F238E27FC236}">
              <a16:creationId xmlns:a16="http://schemas.microsoft.com/office/drawing/2014/main" id="{00000000-0008-0000-0800-00008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7" name="Text Box 199">
          <a:extLst>
            <a:ext uri="{FF2B5EF4-FFF2-40B4-BE49-F238E27FC236}">
              <a16:creationId xmlns:a16="http://schemas.microsoft.com/office/drawing/2014/main" id="{00000000-0008-0000-0800-00008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8" name="Text Box 200">
          <a:extLst>
            <a:ext uri="{FF2B5EF4-FFF2-40B4-BE49-F238E27FC236}">
              <a16:creationId xmlns:a16="http://schemas.microsoft.com/office/drawing/2014/main" id="{00000000-0008-0000-0800-00008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9" name="Text Box 201">
          <a:extLst>
            <a:ext uri="{FF2B5EF4-FFF2-40B4-BE49-F238E27FC236}">
              <a16:creationId xmlns:a16="http://schemas.microsoft.com/office/drawing/2014/main" id="{00000000-0008-0000-0800-00008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30" name="Text Box 202">
          <a:extLst>
            <a:ext uri="{FF2B5EF4-FFF2-40B4-BE49-F238E27FC236}">
              <a16:creationId xmlns:a16="http://schemas.microsoft.com/office/drawing/2014/main" id="{00000000-0008-0000-0800-00008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1" name="Text Box 203">
          <a:extLst>
            <a:ext uri="{FF2B5EF4-FFF2-40B4-BE49-F238E27FC236}">
              <a16:creationId xmlns:a16="http://schemas.microsoft.com/office/drawing/2014/main" id="{00000000-0008-0000-0800-00008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2" name="Text Box 204">
          <a:extLst>
            <a:ext uri="{FF2B5EF4-FFF2-40B4-BE49-F238E27FC236}">
              <a16:creationId xmlns:a16="http://schemas.microsoft.com/office/drawing/2014/main" id="{00000000-0008-0000-0800-00008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3" name="Text Box 205">
          <a:extLst>
            <a:ext uri="{FF2B5EF4-FFF2-40B4-BE49-F238E27FC236}">
              <a16:creationId xmlns:a16="http://schemas.microsoft.com/office/drawing/2014/main" id="{00000000-0008-0000-0800-00008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4" name="Text Box 206">
          <a:extLst>
            <a:ext uri="{FF2B5EF4-FFF2-40B4-BE49-F238E27FC236}">
              <a16:creationId xmlns:a16="http://schemas.microsoft.com/office/drawing/2014/main" id="{00000000-0008-0000-0800-00008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5" name="Text Box 207">
          <a:extLst>
            <a:ext uri="{FF2B5EF4-FFF2-40B4-BE49-F238E27FC236}">
              <a16:creationId xmlns:a16="http://schemas.microsoft.com/office/drawing/2014/main" id="{00000000-0008-0000-0800-00008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6" name="Text Box 208">
          <a:extLst>
            <a:ext uri="{FF2B5EF4-FFF2-40B4-BE49-F238E27FC236}">
              <a16:creationId xmlns:a16="http://schemas.microsoft.com/office/drawing/2014/main" id="{00000000-0008-0000-0800-00009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7" name="Text Box 209">
          <a:extLst>
            <a:ext uri="{FF2B5EF4-FFF2-40B4-BE49-F238E27FC236}">
              <a16:creationId xmlns:a16="http://schemas.microsoft.com/office/drawing/2014/main" id="{00000000-0008-0000-0800-00009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8" name="Text Box 210">
          <a:extLst>
            <a:ext uri="{FF2B5EF4-FFF2-40B4-BE49-F238E27FC236}">
              <a16:creationId xmlns:a16="http://schemas.microsoft.com/office/drawing/2014/main" id="{00000000-0008-0000-0800-00009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9" name="Text Box 211">
          <a:extLst>
            <a:ext uri="{FF2B5EF4-FFF2-40B4-BE49-F238E27FC236}">
              <a16:creationId xmlns:a16="http://schemas.microsoft.com/office/drawing/2014/main" id="{00000000-0008-0000-0800-00009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0" name="Text Box 212">
          <a:extLst>
            <a:ext uri="{FF2B5EF4-FFF2-40B4-BE49-F238E27FC236}">
              <a16:creationId xmlns:a16="http://schemas.microsoft.com/office/drawing/2014/main" id="{00000000-0008-0000-0800-00009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1" name="Text Box 213">
          <a:extLst>
            <a:ext uri="{FF2B5EF4-FFF2-40B4-BE49-F238E27FC236}">
              <a16:creationId xmlns:a16="http://schemas.microsoft.com/office/drawing/2014/main" id="{00000000-0008-0000-0800-00009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2" name="Text Box 214">
          <a:extLst>
            <a:ext uri="{FF2B5EF4-FFF2-40B4-BE49-F238E27FC236}">
              <a16:creationId xmlns:a16="http://schemas.microsoft.com/office/drawing/2014/main" id="{00000000-0008-0000-0800-00009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3" name="Text Box 215">
          <a:extLst>
            <a:ext uri="{FF2B5EF4-FFF2-40B4-BE49-F238E27FC236}">
              <a16:creationId xmlns:a16="http://schemas.microsoft.com/office/drawing/2014/main" id="{00000000-0008-0000-0800-00009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4" name="Text Box 216">
          <a:extLst>
            <a:ext uri="{FF2B5EF4-FFF2-40B4-BE49-F238E27FC236}">
              <a16:creationId xmlns:a16="http://schemas.microsoft.com/office/drawing/2014/main" id="{00000000-0008-0000-0800-00009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5" name="Text Box 217">
          <a:extLst>
            <a:ext uri="{FF2B5EF4-FFF2-40B4-BE49-F238E27FC236}">
              <a16:creationId xmlns:a16="http://schemas.microsoft.com/office/drawing/2014/main" id="{00000000-0008-0000-0800-00009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6" name="Text Box 218">
          <a:extLst>
            <a:ext uri="{FF2B5EF4-FFF2-40B4-BE49-F238E27FC236}">
              <a16:creationId xmlns:a16="http://schemas.microsoft.com/office/drawing/2014/main" id="{00000000-0008-0000-0800-00009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7" name="Text Box 219">
          <a:extLst>
            <a:ext uri="{FF2B5EF4-FFF2-40B4-BE49-F238E27FC236}">
              <a16:creationId xmlns:a16="http://schemas.microsoft.com/office/drawing/2014/main" id="{00000000-0008-0000-0800-00009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8" name="Text Box 220">
          <a:extLst>
            <a:ext uri="{FF2B5EF4-FFF2-40B4-BE49-F238E27FC236}">
              <a16:creationId xmlns:a16="http://schemas.microsoft.com/office/drawing/2014/main" id="{00000000-0008-0000-0800-00009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9" name="Text Box 221">
          <a:extLst>
            <a:ext uri="{FF2B5EF4-FFF2-40B4-BE49-F238E27FC236}">
              <a16:creationId xmlns:a16="http://schemas.microsoft.com/office/drawing/2014/main" id="{00000000-0008-0000-0800-00009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0" name="Text Box 222">
          <a:extLst>
            <a:ext uri="{FF2B5EF4-FFF2-40B4-BE49-F238E27FC236}">
              <a16:creationId xmlns:a16="http://schemas.microsoft.com/office/drawing/2014/main" id="{00000000-0008-0000-0800-00009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1" name="Text Box 223">
          <a:extLst>
            <a:ext uri="{FF2B5EF4-FFF2-40B4-BE49-F238E27FC236}">
              <a16:creationId xmlns:a16="http://schemas.microsoft.com/office/drawing/2014/main" id="{00000000-0008-0000-0800-00009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2" name="Text Box 224">
          <a:extLst>
            <a:ext uri="{FF2B5EF4-FFF2-40B4-BE49-F238E27FC236}">
              <a16:creationId xmlns:a16="http://schemas.microsoft.com/office/drawing/2014/main" id="{00000000-0008-0000-0800-0000A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3" name="Text Box 225">
          <a:extLst>
            <a:ext uri="{FF2B5EF4-FFF2-40B4-BE49-F238E27FC236}">
              <a16:creationId xmlns:a16="http://schemas.microsoft.com/office/drawing/2014/main" id="{00000000-0008-0000-0800-0000A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4" name="Text Box 226">
          <a:extLst>
            <a:ext uri="{FF2B5EF4-FFF2-40B4-BE49-F238E27FC236}">
              <a16:creationId xmlns:a16="http://schemas.microsoft.com/office/drawing/2014/main" id="{00000000-0008-0000-0800-0000A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5" name="Text Box 227">
          <a:extLst>
            <a:ext uri="{FF2B5EF4-FFF2-40B4-BE49-F238E27FC236}">
              <a16:creationId xmlns:a16="http://schemas.microsoft.com/office/drawing/2014/main" id="{00000000-0008-0000-0800-0000A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6" name="Text Box 228">
          <a:extLst>
            <a:ext uri="{FF2B5EF4-FFF2-40B4-BE49-F238E27FC236}">
              <a16:creationId xmlns:a16="http://schemas.microsoft.com/office/drawing/2014/main" id="{00000000-0008-0000-0800-0000A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7" name="Text Box 229">
          <a:extLst>
            <a:ext uri="{FF2B5EF4-FFF2-40B4-BE49-F238E27FC236}">
              <a16:creationId xmlns:a16="http://schemas.microsoft.com/office/drawing/2014/main" id="{00000000-0008-0000-0800-0000A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8" name="Text Box 230">
          <a:extLst>
            <a:ext uri="{FF2B5EF4-FFF2-40B4-BE49-F238E27FC236}">
              <a16:creationId xmlns:a16="http://schemas.microsoft.com/office/drawing/2014/main" id="{00000000-0008-0000-0800-0000A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9" name="Text Box 231">
          <a:extLst>
            <a:ext uri="{FF2B5EF4-FFF2-40B4-BE49-F238E27FC236}">
              <a16:creationId xmlns:a16="http://schemas.microsoft.com/office/drawing/2014/main" id="{00000000-0008-0000-0800-0000A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0" name="Text Box 232">
          <a:extLst>
            <a:ext uri="{FF2B5EF4-FFF2-40B4-BE49-F238E27FC236}">
              <a16:creationId xmlns:a16="http://schemas.microsoft.com/office/drawing/2014/main" id="{00000000-0008-0000-0800-0000A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1" name="Text Box 233">
          <a:extLst>
            <a:ext uri="{FF2B5EF4-FFF2-40B4-BE49-F238E27FC236}">
              <a16:creationId xmlns:a16="http://schemas.microsoft.com/office/drawing/2014/main" id="{00000000-0008-0000-0800-0000A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2" name="Text Box 234">
          <a:extLst>
            <a:ext uri="{FF2B5EF4-FFF2-40B4-BE49-F238E27FC236}">
              <a16:creationId xmlns:a16="http://schemas.microsoft.com/office/drawing/2014/main" id="{00000000-0008-0000-0800-0000A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3" name="Text Box 235">
          <a:extLst>
            <a:ext uri="{FF2B5EF4-FFF2-40B4-BE49-F238E27FC236}">
              <a16:creationId xmlns:a16="http://schemas.microsoft.com/office/drawing/2014/main" id="{00000000-0008-0000-0800-0000A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4" name="Text Box 236">
          <a:extLst>
            <a:ext uri="{FF2B5EF4-FFF2-40B4-BE49-F238E27FC236}">
              <a16:creationId xmlns:a16="http://schemas.microsoft.com/office/drawing/2014/main" id="{00000000-0008-0000-0800-0000A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5" name="Text Box 237">
          <a:extLst>
            <a:ext uri="{FF2B5EF4-FFF2-40B4-BE49-F238E27FC236}">
              <a16:creationId xmlns:a16="http://schemas.microsoft.com/office/drawing/2014/main" id="{00000000-0008-0000-0800-0000A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6" name="Text Box 238">
          <a:extLst>
            <a:ext uri="{FF2B5EF4-FFF2-40B4-BE49-F238E27FC236}">
              <a16:creationId xmlns:a16="http://schemas.microsoft.com/office/drawing/2014/main" id="{00000000-0008-0000-0800-0000A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7" name="Text Box 239">
          <a:extLst>
            <a:ext uri="{FF2B5EF4-FFF2-40B4-BE49-F238E27FC236}">
              <a16:creationId xmlns:a16="http://schemas.microsoft.com/office/drawing/2014/main" id="{00000000-0008-0000-0800-0000A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8" name="Text Box 240">
          <a:extLst>
            <a:ext uri="{FF2B5EF4-FFF2-40B4-BE49-F238E27FC236}">
              <a16:creationId xmlns:a16="http://schemas.microsoft.com/office/drawing/2014/main" id="{00000000-0008-0000-0800-0000B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9" name="Text Box 241">
          <a:extLst>
            <a:ext uri="{FF2B5EF4-FFF2-40B4-BE49-F238E27FC236}">
              <a16:creationId xmlns:a16="http://schemas.microsoft.com/office/drawing/2014/main" id="{00000000-0008-0000-0800-0000B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0" name="Text Box 242">
          <a:extLst>
            <a:ext uri="{FF2B5EF4-FFF2-40B4-BE49-F238E27FC236}">
              <a16:creationId xmlns:a16="http://schemas.microsoft.com/office/drawing/2014/main" id="{00000000-0008-0000-0800-0000B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1" name="Text Box 243">
          <a:extLst>
            <a:ext uri="{FF2B5EF4-FFF2-40B4-BE49-F238E27FC236}">
              <a16:creationId xmlns:a16="http://schemas.microsoft.com/office/drawing/2014/main" id="{00000000-0008-0000-0800-0000B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2" name="Text Box 244">
          <a:extLst>
            <a:ext uri="{FF2B5EF4-FFF2-40B4-BE49-F238E27FC236}">
              <a16:creationId xmlns:a16="http://schemas.microsoft.com/office/drawing/2014/main" id="{00000000-0008-0000-0800-0000B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3" name="Text Box 245">
          <a:extLst>
            <a:ext uri="{FF2B5EF4-FFF2-40B4-BE49-F238E27FC236}">
              <a16:creationId xmlns:a16="http://schemas.microsoft.com/office/drawing/2014/main" id="{00000000-0008-0000-0800-0000B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4" name="Text Box 246">
          <a:extLst>
            <a:ext uri="{FF2B5EF4-FFF2-40B4-BE49-F238E27FC236}">
              <a16:creationId xmlns:a16="http://schemas.microsoft.com/office/drawing/2014/main" id="{00000000-0008-0000-0800-0000B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5" name="Text Box 247">
          <a:extLst>
            <a:ext uri="{FF2B5EF4-FFF2-40B4-BE49-F238E27FC236}">
              <a16:creationId xmlns:a16="http://schemas.microsoft.com/office/drawing/2014/main" id="{00000000-0008-0000-0800-0000B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6" name="Text Box 248">
          <a:extLst>
            <a:ext uri="{FF2B5EF4-FFF2-40B4-BE49-F238E27FC236}">
              <a16:creationId xmlns:a16="http://schemas.microsoft.com/office/drawing/2014/main" id="{00000000-0008-0000-0800-0000B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7" name="Text Box 249">
          <a:extLst>
            <a:ext uri="{FF2B5EF4-FFF2-40B4-BE49-F238E27FC236}">
              <a16:creationId xmlns:a16="http://schemas.microsoft.com/office/drawing/2014/main" id="{00000000-0008-0000-0800-0000B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8" name="Text Box 250">
          <a:extLst>
            <a:ext uri="{FF2B5EF4-FFF2-40B4-BE49-F238E27FC236}">
              <a16:creationId xmlns:a16="http://schemas.microsoft.com/office/drawing/2014/main" id="{00000000-0008-0000-0800-0000B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9" name="Text Box 251">
          <a:extLst>
            <a:ext uri="{FF2B5EF4-FFF2-40B4-BE49-F238E27FC236}">
              <a16:creationId xmlns:a16="http://schemas.microsoft.com/office/drawing/2014/main" id="{00000000-0008-0000-0800-0000B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0" name="Text Box 252">
          <a:extLst>
            <a:ext uri="{FF2B5EF4-FFF2-40B4-BE49-F238E27FC236}">
              <a16:creationId xmlns:a16="http://schemas.microsoft.com/office/drawing/2014/main" id="{00000000-0008-0000-0800-0000B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1" name="Text Box 253">
          <a:extLst>
            <a:ext uri="{FF2B5EF4-FFF2-40B4-BE49-F238E27FC236}">
              <a16:creationId xmlns:a16="http://schemas.microsoft.com/office/drawing/2014/main" id="{00000000-0008-0000-0800-0000B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2" name="Text Box 254">
          <a:extLst>
            <a:ext uri="{FF2B5EF4-FFF2-40B4-BE49-F238E27FC236}">
              <a16:creationId xmlns:a16="http://schemas.microsoft.com/office/drawing/2014/main" id="{00000000-0008-0000-0800-0000B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3" name="Text Box 255">
          <a:extLst>
            <a:ext uri="{FF2B5EF4-FFF2-40B4-BE49-F238E27FC236}">
              <a16:creationId xmlns:a16="http://schemas.microsoft.com/office/drawing/2014/main" id="{00000000-0008-0000-0800-0000B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4" name="Text Box 256">
          <a:extLst>
            <a:ext uri="{FF2B5EF4-FFF2-40B4-BE49-F238E27FC236}">
              <a16:creationId xmlns:a16="http://schemas.microsoft.com/office/drawing/2014/main" id="{00000000-0008-0000-0800-0000C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5" name="Text Box 257">
          <a:extLst>
            <a:ext uri="{FF2B5EF4-FFF2-40B4-BE49-F238E27FC236}">
              <a16:creationId xmlns:a16="http://schemas.microsoft.com/office/drawing/2014/main" id="{00000000-0008-0000-0800-0000C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6" name="Text Box 258">
          <a:extLst>
            <a:ext uri="{FF2B5EF4-FFF2-40B4-BE49-F238E27FC236}">
              <a16:creationId xmlns:a16="http://schemas.microsoft.com/office/drawing/2014/main" id="{00000000-0008-0000-0800-0000C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7" name="Text Box 259">
          <a:extLst>
            <a:ext uri="{FF2B5EF4-FFF2-40B4-BE49-F238E27FC236}">
              <a16:creationId xmlns:a16="http://schemas.microsoft.com/office/drawing/2014/main" id="{00000000-0008-0000-0800-0000C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8" name="Text Box 260">
          <a:extLst>
            <a:ext uri="{FF2B5EF4-FFF2-40B4-BE49-F238E27FC236}">
              <a16:creationId xmlns:a16="http://schemas.microsoft.com/office/drawing/2014/main" id="{00000000-0008-0000-0800-0000C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9" name="Text Box 261">
          <a:extLst>
            <a:ext uri="{FF2B5EF4-FFF2-40B4-BE49-F238E27FC236}">
              <a16:creationId xmlns:a16="http://schemas.microsoft.com/office/drawing/2014/main" id="{00000000-0008-0000-0800-0000C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0" name="Text Box 262">
          <a:extLst>
            <a:ext uri="{FF2B5EF4-FFF2-40B4-BE49-F238E27FC236}">
              <a16:creationId xmlns:a16="http://schemas.microsoft.com/office/drawing/2014/main" id="{00000000-0008-0000-0800-0000C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1" name="Text Box 263">
          <a:extLst>
            <a:ext uri="{FF2B5EF4-FFF2-40B4-BE49-F238E27FC236}">
              <a16:creationId xmlns:a16="http://schemas.microsoft.com/office/drawing/2014/main" id="{00000000-0008-0000-0800-0000C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2" name="Text Box 264">
          <a:extLst>
            <a:ext uri="{FF2B5EF4-FFF2-40B4-BE49-F238E27FC236}">
              <a16:creationId xmlns:a16="http://schemas.microsoft.com/office/drawing/2014/main" id="{00000000-0008-0000-0800-0000C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3" name="Text Box 265">
          <a:extLst>
            <a:ext uri="{FF2B5EF4-FFF2-40B4-BE49-F238E27FC236}">
              <a16:creationId xmlns:a16="http://schemas.microsoft.com/office/drawing/2014/main" id="{00000000-0008-0000-0800-0000C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4" name="Text Box 266">
          <a:extLst>
            <a:ext uri="{FF2B5EF4-FFF2-40B4-BE49-F238E27FC236}">
              <a16:creationId xmlns:a16="http://schemas.microsoft.com/office/drawing/2014/main" id="{00000000-0008-0000-0800-0000C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5" name="Text Box 267">
          <a:extLst>
            <a:ext uri="{FF2B5EF4-FFF2-40B4-BE49-F238E27FC236}">
              <a16:creationId xmlns:a16="http://schemas.microsoft.com/office/drawing/2014/main" id="{00000000-0008-0000-0800-0000C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6" name="Text Box 268">
          <a:extLst>
            <a:ext uri="{FF2B5EF4-FFF2-40B4-BE49-F238E27FC236}">
              <a16:creationId xmlns:a16="http://schemas.microsoft.com/office/drawing/2014/main" id="{00000000-0008-0000-0800-0000C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7" name="Text Box 269">
          <a:extLst>
            <a:ext uri="{FF2B5EF4-FFF2-40B4-BE49-F238E27FC236}">
              <a16:creationId xmlns:a16="http://schemas.microsoft.com/office/drawing/2014/main" id="{00000000-0008-0000-0800-0000C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8" name="Text Box 270">
          <a:extLst>
            <a:ext uri="{FF2B5EF4-FFF2-40B4-BE49-F238E27FC236}">
              <a16:creationId xmlns:a16="http://schemas.microsoft.com/office/drawing/2014/main" id="{00000000-0008-0000-0800-0000C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9" name="Text Box 271">
          <a:extLst>
            <a:ext uri="{FF2B5EF4-FFF2-40B4-BE49-F238E27FC236}">
              <a16:creationId xmlns:a16="http://schemas.microsoft.com/office/drawing/2014/main" id="{00000000-0008-0000-0800-0000C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0" name="Text Box 272">
          <a:extLst>
            <a:ext uri="{FF2B5EF4-FFF2-40B4-BE49-F238E27FC236}">
              <a16:creationId xmlns:a16="http://schemas.microsoft.com/office/drawing/2014/main" id="{00000000-0008-0000-0800-0000D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1" name="Text Box 273">
          <a:extLst>
            <a:ext uri="{FF2B5EF4-FFF2-40B4-BE49-F238E27FC236}">
              <a16:creationId xmlns:a16="http://schemas.microsoft.com/office/drawing/2014/main" id="{00000000-0008-0000-0800-0000D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2" name="Text Box 274">
          <a:extLst>
            <a:ext uri="{FF2B5EF4-FFF2-40B4-BE49-F238E27FC236}">
              <a16:creationId xmlns:a16="http://schemas.microsoft.com/office/drawing/2014/main" id="{00000000-0008-0000-0800-0000D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3" name="Text Box 275">
          <a:extLst>
            <a:ext uri="{FF2B5EF4-FFF2-40B4-BE49-F238E27FC236}">
              <a16:creationId xmlns:a16="http://schemas.microsoft.com/office/drawing/2014/main" id="{00000000-0008-0000-0800-0000D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4" name="Text Box 276">
          <a:extLst>
            <a:ext uri="{FF2B5EF4-FFF2-40B4-BE49-F238E27FC236}">
              <a16:creationId xmlns:a16="http://schemas.microsoft.com/office/drawing/2014/main" id="{00000000-0008-0000-0800-0000D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5" name="Text Box 277">
          <a:extLst>
            <a:ext uri="{FF2B5EF4-FFF2-40B4-BE49-F238E27FC236}">
              <a16:creationId xmlns:a16="http://schemas.microsoft.com/office/drawing/2014/main" id="{00000000-0008-0000-0800-0000D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6" name="Text Box 278">
          <a:extLst>
            <a:ext uri="{FF2B5EF4-FFF2-40B4-BE49-F238E27FC236}">
              <a16:creationId xmlns:a16="http://schemas.microsoft.com/office/drawing/2014/main" id="{00000000-0008-0000-0800-0000D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7" name="Text Box 279">
          <a:extLst>
            <a:ext uri="{FF2B5EF4-FFF2-40B4-BE49-F238E27FC236}">
              <a16:creationId xmlns:a16="http://schemas.microsoft.com/office/drawing/2014/main" id="{00000000-0008-0000-0800-0000D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8" name="Text Box 280">
          <a:extLst>
            <a:ext uri="{FF2B5EF4-FFF2-40B4-BE49-F238E27FC236}">
              <a16:creationId xmlns:a16="http://schemas.microsoft.com/office/drawing/2014/main" id="{00000000-0008-0000-0800-0000D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9" name="Text Box 281">
          <a:extLst>
            <a:ext uri="{FF2B5EF4-FFF2-40B4-BE49-F238E27FC236}">
              <a16:creationId xmlns:a16="http://schemas.microsoft.com/office/drawing/2014/main" id="{00000000-0008-0000-0800-0000D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0" name="Text Box 282">
          <a:extLst>
            <a:ext uri="{FF2B5EF4-FFF2-40B4-BE49-F238E27FC236}">
              <a16:creationId xmlns:a16="http://schemas.microsoft.com/office/drawing/2014/main" id="{00000000-0008-0000-0800-0000D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1" name="Text Box 283">
          <a:extLst>
            <a:ext uri="{FF2B5EF4-FFF2-40B4-BE49-F238E27FC236}">
              <a16:creationId xmlns:a16="http://schemas.microsoft.com/office/drawing/2014/main" id="{00000000-0008-0000-0800-0000D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2" name="Text Box 284">
          <a:extLst>
            <a:ext uri="{FF2B5EF4-FFF2-40B4-BE49-F238E27FC236}">
              <a16:creationId xmlns:a16="http://schemas.microsoft.com/office/drawing/2014/main" id="{00000000-0008-0000-0800-0000D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3" name="Text Box 285">
          <a:extLst>
            <a:ext uri="{FF2B5EF4-FFF2-40B4-BE49-F238E27FC236}">
              <a16:creationId xmlns:a16="http://schemas.microsoft.com/office/drawing/2014/main" id="{00000000-0008-0000-0800-0000D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4" name="Text Box 286">
          <a:extLst>
            <a:ext uri="{FF2B5EF4-FFF2-40B4-BE49-F238E27FC236}">
              <a16:creationId xmlns:a16="http://schemas.microsoft.com/office/drawing/2014/main" id="{00000000-0008-0000-0800-0000D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5" name="Text Box 287">
          <a:extLst>
            <a:ext uri="{FF2B5EF4-FFF2-40B4-BE49-F238E27FC236}">
              <a16:creationId xmlns:a16="http://schemas.microsoft.com/office/drawing/2014/main" id="{00000000-0008-0000-0800-0000D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6" name="Text Box 288">
          <a:extLst>
            <a:ext uri="{FF2B5EF4-FFF2-40B4-BE49-F238E27FC236}">
              <a16:creationId xmlns:a16="http://schemas.microsoft.com/office/drawing/2014/main" id="{00000000-0008-0000-0800-0000E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7" name="Text Box 289">
          <a:extLst>
            <a:ext uri="{FF2B5EF4-FFF2-40B4-BE49-F238E27FC236}">
              <a16:creationId xmlns:a16="http://schemas.microsoft.com/office/drawing/2014/main" id="{00000000-0008-0000-0800-0000E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8" name="Text Box 290">
          <a:extLst>
            <a:ext uri="{FF2B5EF4-FFF2-40B4-BE49-F238E27FC236}">
              <a16:creationId xmlns:a16="http://schemas.microsoft.com/office/drawing/2014/main" id="{00000000-0008-0000-0800-0000E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9" name="Text Box 291">
          <a:extLst>
            <a:ext uri="{FF2B5EF4-FFF2-40B4-BE49-F238E27FC236}">
              <a16:creationId xmlns:a16="http://schemas.microsoft.com/office/drawing/2014/main" id="{00000000-0008-0000-0800-0000E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0" name="Text Box 292">
          <a:extLst>
            <a:ext uri="{FF2B5EF4-FFF2-40B4-BE49-F238E27FC236}">
              <a16:creationId xmlns:a16="http://schemas.microsoft.com/office/drawing/2014/main" id="{00000000-0008-0000-0800-0000E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1" name="Text Box 293">
          <a:extLst>
            <a:ext uri="{FF2B5EF4-FFF2-40B4-BE49-F238E27FC236}">
              <a16:creationId xmlns:a16="http://schemas.microsoft.com/office/drawing/2014/main" id="{00000000-0008-0000-0800-0000E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2" name="Text Box 294">
          <a:extLst>
            <a:ext uri="{FF2B5EF4-FFF2-40B4-BE49-F238E27FC236}">
              <a16:creationId xmlns:a16="http://schemas.microsoft.com/office/drawing/2014/main" id="{00000000-0008-0000-0800-0000E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3" name="Text Box 295">
          <a:extLst>
            <a:ext uri="{FF2B5EF4-FFF2-40B4-BE49-F238E27FC236}">
              <a16:creationId xmlns:a16="http://schemas.microsoft.com/office/drawing/2014/main" id="{00000000-0008-0000-0800-0000E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4" name="Text Box 296">
          <a:extLst>
            <a:ext uri="{FF2B5EF4-FFF2-40B4-BE49-F238E27FC236}">
              <a16:creationId xmlns:a16="http://schemas.microsoft.com/office/drawing/2014/main" id="{00000000-0008-0000-0800-0000E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5" name="Text Box 297">
          <a:extLst>
            <a:ext uri="{FF2B5EF4-FFF2-40B4-BE49-F238E27FC236}">
              <a16:creationId xmlns:a16="http://schemas.microsoft.com/office/drawing/2014/main" id="{00000000-0008-0000-0800-0000E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6" name="Text Box 298">
          <a:extLst>
            <a:ext uri="{FF2B5EF4-FFF2-40B4-BE49-F238E27FC236}">
              <a16:creationId xmlns:a16="http://schemas.microsoft.com/office/drawing/2014/main" id="{00000000-0008-0000-0800-0000E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7" name="Text Box 299">
          <a:extLst>
            <a:ext uri="{FF2B5EF4-FFF2-40B4-BE49-F238E27FC236}">
              <a16:creationId xmlns:a16="http://schemas.microsoft.com/office/drawing/2014/main" id="{00000000-0008-0000-0800-0000E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8" name="Text Box 300">
          <a:extLst>
            <a:ext uri="{FF2B5EF4-FFF2-40B4-BE49-F238E27FC236}">
              <a16:creationId xmlns:a16="http://schemas.microsoft.com/office/drawing/2014/main" id="{00000000-0008-0000-0800-0000E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9" name="Text Box 301">
          <a:extLst>
            <a:ext uri="{FF2B5EF4-FFF2-40B4-BE49-F238E27FC236}">
              <a16:creationId xmlns:a16="http://schemas.microsoft.com/office/drawing/2014/main" id="{00000000-0008-0000-0800-0000E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0" name="Text Box 302">
          <a:extLst>
            <a:ext uri="{FF2B5EF4-FFF2-40B4-BE49-F238E27FC236}">
              <a16:creationId xmlns:a16="http://schemas.microsoft.com/office/drawing/2014/main" id="{00000000-0008-0000-0800-0000E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1" name="Text Box 303">
          <a:extLst>
            <a:ext uri="{FF2B5EF4-FFF2-40B4-BE49-F238E27FC236}">
              <a16:creationId xmlns:a16="http://schemas.microsoft.com/office/drawing/2014/main" id="{00000000-0008-0000-0800-0000E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2" name="Text Box 304">
          <a:extLst>
            <a:ext uri="{FF2B5EF4-FFF2-40B4-BE49-F238E27FC236}">
              <a16:creationId xmlns:a16="http://schemas.microsoft.com/office/drawing/2014/main" id="{00000000-0008-0000-0800-0000F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3" name="Text Box 305">
          <a:extLst>
            <a:ext uri="{FF2B5EF4-FFF2-40B4-BE49-F238E27FC236}">
              <a16:creationId xmlns:a16="http://schemas.microsoft.com/office/drawing/2014/main" id="{00000000-0008-0000-0800-0000F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4" name="Text Box 306">
          <a:extLst>
            <a:ext uri="{FF2B5EF4-FFF2-40B4-BE49-F238E27FC236}">
              <a16:creationId xmlns:a16="http://schemas.microsoft.com/office/drawing/2014/main" id="{00000000-0008-0000-0800-0000F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5" name="Text Box 307">
          <a:extLst>
            <a:ext uri="{FF2B5EF4-FFF2-40B4-BE49-F238E27FC236}">
              <a16:creationId xmlns:a16="http://schemas.microsoft.com/office/drawing/2014/main" id="{00000000-0008-0000-0800-0000F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6" name="Text Box 308">
          <a:extLst>
            <a:ext uri="{FF2B5EF4-FFF2-40B4-BE49-F238E27FC236}">
              <a16:creationId xmlns:a16="http://schemas.microsoft.com/office/drawing/2014/main" id="{00000000-0008-0000-0800-0000F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7" name="Text Box 309">
          <a:extLst>
            <a:ext uri="{FF2B5EF4-FFF2-40B4-BE49-F238E27FC236}">
              <a16:creationId xmlns:a16="http://schemas.microsoft.com/office/drawing/2014/main" id="{00000000-0008-0000-0800-0000F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8" name="Text Box 310">
          <a:extLst>
            <a:ext uri="{FF2B5EF4-FFF2-40B4-BE49-F238E27FC236}">
              <a16:creationId xmlns:a16="http://schemas.microsoft.com/office/drawing/2014/main" id="{00000000-0008-0000-0800-0000F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9" name="Text Box 311">
          <a:extLst>
            <a:ext uri="{FF2B5EF4-FFF2-40B4-BE49-F238E27FC236}">
              <a16:creationId xmlns:a16="http://schemas.microsoft.com/office/drawing/2014/main" id="{00000000-0008-0000-0800-0000F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0" name="Text Box 312">
          <a:extLst>
            <a:ext uri="{FF2B5EF4-FFF2-40B4-BE49-F238E27FC236}">
              <a16:creationId xmlns:a16="http://schemas.microsoft.com/office/drawing/2014/main" id="{00000000-0008-0000-0800-0000F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1" name="Text Box 313">
          <a:extLst>
            <a:ext uri="{FF2B5EF4-FFF2-40B4-BE49-F238E27FC236}">
              <a16:creationId xmlns:a16="http://schemas.microsoft.com/office/drawing/2014/main" id="{00000000-0008-0000-0800-0000F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2" name="Text Box 314">
          <a:extLst>
            <a:ext uri="{FF2B5EF4-FFF2-40B4-BE49-F238E27FC236}">
              <a16:creationId xmlns:a16="http://schemas.microsoft.com/office/drawing/2014/main" id="{00000000-0008-0000-0800-0000F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3" name="Text Box 315">
          <a:extLst>
            <a:ext uri="{FF2B5EF4-FFF2-40B4-BE49-F238E27FC236}">
              <a16:creationId xmlns:a16="http://schemas.microsoft.com/office/drawing/2014/main" id="{00000000-0008-0000-0800-0000F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4" name="Text Box 316">
          <a:extLst>
            <a:ext uri="{FF2B5EF4-FFF2-40B4-BE49-F238E27FC236}">
              <a16:creationId xmlns:a16="http://schemas.microsoft.com/office/drawing/2014/main" id="{00000000-0008-0000-0800-0000F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5" name="Text Box 317">
          <a:extLst>
            <a:ext uri="{FF2B5EF4-FFF2-40B4-BE49-F238E27FC236}">
              <a16:creationId xmlns:a16="http://schemas.microsoft.com/office/drawing/2014/main" id="{00000000-0008-0000-0800-0000F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6" name="Text Box 318">
          <a:extLst>
            <a:ext uri="{FF2B5EF4-FFF2-40B4-BE49-F238E27FC236}">
              <a16:creationId xmlns:a16="http://schemas.microsoft.com/office/drawing/2014/main" id="{00000000-0008-0000-0800-0000F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7" name="Text Box 319">
          <a:extLst>
            <a:ext uri="{FF2B5EF4-FFF2-40B4-BE49-F238E27FC236}">
              <a16:creationId xmlns:a16="http://schemas.microsoft.com/office/drawing/2014/main" id="{00000000-0008-0000-0800-0000F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8" name="Text Box 320">
          <a:extLst>
            <a:ext uri="{FF2B5EF4-FFF2-40B4-BE49-F238E27FC236}">
              <a16:creationId xmlns:a16="http://schemas.microsoft.com/office/drawing/2014/main" id="{00000000-0008-0000-0800-00000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49" name="Text Box 28">
          <a:extLst>
            <a:ext uri="{FF2B5EF4-FFF2-40B4-BE49-F238E27FC236}">
              <a16:creationId xmlns:a16="http://schemas.microsoft.com/office/drawing/2014/main" id="{00000000-0008-0000-0800-00000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0" name="Text Box 29">
          <a:extLst>
            <a:ext uri="{FF2B5EF4-FFF2-40B4-BE49-F238E27FC236}">
              <a16:creationId xmlns:a16="http://schemas.microsoft.com/office/drawing/2014/main" id="{00000000-0008-0000-0800-00000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1" name="Text Box 30">
          <a:extLst>
            <a:ext uri="{FF2B5EF4-FFF2-40B4-BE49-F238E27FC236}">
              <a16:creationId xmlns:a16="http://schemas.microsoft.com/office/drawing/2014/main" id="{00000000-0008-0000-0800-00000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2" name="Text Box 31">
          <a:extLst>
            <a:ext uri="{FF2B5EF4-FFF2-40B4-BE49-F238E27FC236}">
              <a16:creationId xmlns:a16="http://schemas.microsoft.com/office/drawing/2014/main" id="{00000000-0008-0000-0800-00000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3" name="Text Box 32">
          <a:extLst>
            <a:ext uri="{FF2B5EF4-FFF2-40B4-BE49-F238E27FC236}">
              <a16:creationId xmlns:a16="http://schemas.microsoft.com/office/drawing/2014/main" id="{00000000-0008-0000-0800-00000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4" name="Text Box 33">
          <a:extLst>
            <a:ext uri="{FF2B5EF4-FFF2-40B4-BE49-F238E27FC236}">
              <a16:creationId xmlns:a16="http://schemas.microsoft.com/office/drawing/2014/main" id="{00000000-0008-0000-0800-00000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5" name="Text Box 34">
          <a:extLst>
            <a:ext uri="{FF2B5EF4-FFF2-40B4-BE49-F238E27FC236}">
              <a16:creationId xmlns:a16="http://schemas.microsoft.com/office/drawing/2014/main" id="{00000000-0008-0000-0800-00000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6" name="Text Box 35">
          <a:extLst>
            <a:ext uri="{FF2B5EF4-FFF2-40B4-BE49-F238E27FC236}">
              <a16:creationId xmlns:a16="http://schemas.microsoft.com/office/drawing/2014/main" id="{00000000-0008-0000-0800-00000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7" name="Text Box 36">
          <a:extLst>
            <a:ext uri="{FF2B5EF4-FFF2-40B4-BE49-F238E27FC236}">
              <a16:creationId xmlns:a16="http://schemas.microsoft.com/office/drawing/2014/main" id="{00000000-0008-0000-0800-00000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8" name="Text Box 37">
          <a:extLst>
            <a:ext uri="{FF2B5EF4-FFF2-40B4-BE49-F238E27FC236}">
              <a16:creationId xmlns:a16="http://schemas.microsoft.com/office/drawing/2014/main" id="{00000000-0008-0000-0800-00000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9" name="Text Box 38">
          <a:extLst>
            <a:ext uri="{FF2B5EF4-FFF2-40B4-BE49-F238E27FC236}">
              <a16:creationId xmlns:a16="http://schemas.microsoft.com/office/drawing/2014/main" id="{00000000-0008-0000-0800-00000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0" name="Text Box 39">
          <a:extLst>
            <a:ext uri="{FF2B5EF4-FFF2-40B4-BE49-F238E27FC236}">
              <a16:creationId xmlns:a16="http://schemas.microsoft.com/office/drawing/2014/main" id="{00000000-0008-0000-0800-00000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1" name="Text Box 40">
          <a:extLst>
            <a:ext uri="{FF2B5EF4-FFF2-40B4-BE49-F238E27FC236}">
              <a16:creationId xmlns:a16="http://schemas.microsoft.com/office/drawing/2014/main" id="{00000000-0008-0000-0800-00000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2" name="Text Box 41">
          <a:extLst>
            <a:ext uri="{FF2B5EF4-FFF2-40B4-BE49-F238E27FC236}">
              <a16:creationId xmlns:a16="http://schemas.microsoft.com/office/drawing/2014/main" id="{00000000-0008-0000-0800-00000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3" name="Text Box 42">
          <a:extLst>
            <a:ext uri="{FF2B5EF4-FFF2-40B4-BE49-F238E27FC236}">
              <a16:creationId xmlns:a16="http://schemas.microsoft.com/office/drawing/2014/main" id="{00000000-0008-0000-0800-00000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4" name="Text Box 43">
          <a:extLst>
            <a:ext uri="{FF2B5EF4-FFF2-40B4-BE49-F238E27FC236}">
              <a16:creationId xmlns:a16="http://schemas.microsoft.com/office/drawing/2014/main" id="{00000000-0008-0000-0800-00001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5" name="Text Box 44">
          <a:extLst>
            <a:ext uri="{FF2B5EF4-FFF2-40B4-BE49-F238E27FC236}">
              <a16:creationId xmlns:a16="http://schemas.microsoft.com/office/drawing/2014/main" id="{00000000-0008-0000-0800-00001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6" name="Text Box 45">
          <a:extLst>
            <a:ext uri="{FF2B5EF4-FFF2-40B4-BE49-F238E27FC236}">
              <a16:creationId xmlns:a16="http://schemas.microsoft.com/office/drawing/2014/main" id="{00000000-0008-0000-0800-00001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7" name="Text Box 46">
          <a:extLst>
            <a:ext uri="{FF2B5EF4-FFF2-40B4-BE49-F238E27FC236}">
              <a16:creationId xmlns:a16="http://schemas.microsoft.com/office/drawing/2014/main" id="{00000000-0008-0000-0800-00001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8" name="Text Box 47">
          <a:extLst>
            <a:ext uri="{FF2B5EF4-FFF2-40B4-BE49-F238E27FC236}">
              <a16:creationId xmlns:a16="http://schemas.microsoft.com/office/drawing/2014/main" id="{00000000-0008-0000-0800-00001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9" name="Text Box 48">
          <a:extLst>
            <a:ext uri="{FF2B5EF4-FFF2-40B4-BE49-F238E27FC236}">
              <a16:creationId xmlns:a16="http://schemas.microsoft.com/office/drawing/2014/main" id="{00000000-0008-0000-0800-00001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0" name="Text Box 49">
          <a:extLst>
            <a:ext uri="{FF2B5EF4-FFF2-40B4-BE49-F238E27FC236}">
              <a16:creationId xmlns:a16="http://schemas.microsoft.com/office/drawing/2014/main" id="{00000000-0008-0000-0800-00001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1" name="Text Box 50">
          <a:extLst>
            <a:ext uri="{FF2B5EF4-FFF2-40B4-BE49-F238E27FC236}">
              <a16:creationId xmlns:a16="http://schemas.microsoft.com/office/drawing/2014/main" id="{00000000-0008-0000-0800-00001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2" name="Text Box 51">
          <a:extLst>
            <a:ext uri="{FF2B5EF4-FFF2-40B4-BE49-F238E27FC236}">
              <a16:creationId xmlns:a16="http://schemas.microsoft.com/office/drawing/2014/main" id="{00000000-0008-0000-0800-00001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3" name="Text Box 52">
          <a:extLst>
            <a:ext uri="{FF2B5EF4-FFF2-40B4-BE49-F238E27FC236}">
              <a16:creationId xmlns:a16="http://schemas.microsoft.com/office/drawing/2014/main" id="{00000000-0008-0000-0800-00001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4" name="Text Box 53">
          <a:extLst>
            <a:ext uri="{FF2B5EF4-FFF2-40B4-BE49-F238E27FC236}">
              <a16:creationId xmlns:a16="http://schemas.microsoft.com/office/drawing/2014/main" id="{00000000-0008-0000-0800-00001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5" name="Text Box 54">
          <a:extLst>
            <a:ext uri="{FF2B5EF4-FFF2-40B4-BE49-F238E27FC236}">
              <a16:creationId xmlns:a16="http://schemas.microsoft.com/office/drawing/2014/main" id="{00000000-0008-0000-0800-00001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6" name="Text Box 55">
          <a:extLst>
            <a:ext uri="{FF2B5EF4-FFF2-40B4-BE49-F238E27FC236}">
              <a16:creationId xmlns:a16="http://schemas.microsoft.com/office/drawing/2014/main" id="{00000000-0008-0000-0800-00001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7" name="Text Box 56">
          <a:extLst>
            <a:ext uri="{FF2B5EF4-FFF2-40B4-BE49-F238E27FC236}">
              <a16:creationId xmlns:a16="http://schemas.microsoft.com/office/drawing/2014/main" id="{00000000-0008-0000-0800-00001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8" name="Text Box 57">
          <a:extLst>
            <a:ext uri="{FF2B5EF4-FFF2-40B4-BE49-F238E27FC236}">
              <a16:creationId xmlns:a16="http://schemas.microsoft.com/office/drawing/2014/main" id="{00000000-0008-0000-0800-00001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9" name="Text Box 58">
          <a:extLst>
            <a:ext uri="{FF2B5EF4-FFF2-40B4-BE49-F238E27FC236}">
              <a16:creationId xmlns:a16="http://schemas.microsoft.com/office/drawing/2014/main" id="{00000000-0008-0000-0800-00001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0" name="Text Box 59">
          <a:extLst>
            <a:ext uri="{FF2B5EF4-FFF2-40B4-BE49-F238E27FC236}">
              <a16:creationId xmlns:a16="http://schemas.microsoft.com/office/drawing/2014/main" id="{00000000-0008-0000-0800-00002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1" name="Text Box 60">
          <a:extLst>
            <a:ext uri="{FF2B5EF4-FFF2-40B4-BE49-F238E27FC236}">
              <a16:creationId xmlns:a16="http://schemas.microsoft.com/office/drawing/2014/main" id="{00000000-0008-0000-0800-00002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2" name="Text Box 61">
          <a:extLst>
            <a:ext uri="{FF2B5EF4-FFF2-40B4-BE49-F238E27FC236}">
              <a16:creationId xmlns:a16="http://schemas.microsoft.com/office/drawing/2014/main" id="{00000000-0008-0000-0800-00002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3" name="Text Box 62">
          <a:extLst>
            <a:ext uri="{FF2B5EF4-FFF2-40B4-BE49-F238E27FC236}">
              <a16:creationId xmlns:a16="http://schemas.microsoft.com/office/drawing/2014/main" id="{00000000-0008-0000-0800-00002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4" name="Text Box 63">
          <a:extLst>
            <a:ext uri="{FF2B5EF4-FFF2-40B4-BE49-F238E27FC236}">
              <a16:creationId xmlns:a16="http://schemas.microsoft.com/office/drawing/2014/main" id="{00000000-0008-0000-0800-00002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5" name="Text Box 64">
          <a:extLst>
            <a:ext uri="{FF2B5EF4-FFF2-40B4-BE49-F238E27FC236}">
              <a16:creationId xmlns:a16="http://schemas.microsoft.com/office/drawing/2014/main" id="{00000000-0008-0000-0800-00002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6" name="Text Box 65">
          <a:extLst>
            <a:ext uri="{FF2B5EF4-FFF2-40B4-BE49-F238E27FC236}">
              <a16:creationId xmlns:a16="http://schemas.microsoft.com/office/drawing/2014/main" id="{00000000-0008-0000-0800-00002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7" name="Text Box 66">
          <a:extLst>
            <a:ext uri="{FF2B5EF4-FFF2-40B4-BE49-F238E27FC236}">
              <a16:creationId xmlns:a16="http://schemas.microsoft.com/office/drawing/2014/main" id="{00000000-0008-0000-0800-00002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8" name="Text Box 67">
          <a:extLst>
            <a:ext uri="{FF2B5EF4-FFF2-40B4-BE49-F238E27FC236}">
              <a16:creationId xmlns:a16="http://schemas.microsoft.com/office/drawing/2014/main" id="{00000000-0008-0000-0800-00002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9" name="Text Box 68">
          <a:extLst>
            <a:ext uri="{FF2B5EF4-FFF2-40B4-BE49-F238E27FC236}">
              <a16:creationId xmlns:a16="http://schemas.microsoft.com/office/drawing/2014/main" id="{00000000-0008-0000-0800-00002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0" name="Text Box 69">
          <a:extLst>
            <a:ext uri="{FF2B5EF4-FFF2-40B4-BE49-F238E27FC236}">
              <a16:creationId xmlns:a16="http://schemas.microsoft.com/office/drawing/2014/main" id="{00000000-0008-0000-0800-00002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1" name="Text Box 70">
          <a:extLst>
            <a:ext uri="{FF2B5EF4-FFF2-40B4-BE49-F238E27FC236}">
              <a16:creationId xmlns:a16="http://schemas.microsoft.com/office/drawing/2014/main" id="{00000000-0008-0000-0800-00002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2" name="Text Box 71">
          <a:extLst>
            <a:ext uri="{FF2B5EF4-FFF2-40B4-BE49-F238E27FC236}">
              <a16:creationId xmlns:a16="http://schemas.microsoft.com/office/drawing/2014/main" id="{00000000-0008-0000-0800-00002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3" name="Text Box 72">
          <a:extLst>
            <a:ext uri="{FF2B5EF4-FFF2-40B4-BE49-F238E27FC236}">
              <a16:creationId xmlns:a16="http://schemas.microsoft.com/office/drawing/2014/main" id="{00000000-0008-0000-0800-00002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4" name="Text Box 73">
          <a:extLst>
            <a:ext uri="{FF2B5EF4-FFF2-40B4-BE49-F238E27FC236}">
              <a16:creationId xmlns:a16="http://schemas.microsoft.com/office/drawing/2014/main" id="{00000000-0008-0000-0800-00002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5" name="Text Box 74">
          <a:extLst>
            <a:ext uri="{FF2B5EF4-FFF2-40B4-BE49-F238E27FC236}">
              <a16:creationId xmlns:a16="http://schemas.microsoft.com/office/drawing/2014/main" id="{00000000-0008-0000-0800-00002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6" name="Text Box 75">
          <a:extLst>
            <a:ext uri="{FF2B5EF4-FFF2-40B4-BE49-F238E27FC236}">
              <a16:creationId xmlns:a16="http://schemas.microsoft.com/office/drawing/2014/main" id="{00000000-0008-0000-0800-00003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7" name="Text Box 76">
          <a:extLst>
            <a:ext uri="{FF2B5EF4-FFF2-40B4-BE49-F238E27FC236}">
              <a16:creationId xmlns:a16="http://schemas.microsoft.com/office/drawing/2014/main" id="{00000000-0008-0000-0800-00003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8" name="Text Box 77">
          <a:extLst>
            <a:ext uri="{FF2B5EF4-FFF2-40B4-BE49-F238E27FC236}">
              <a16:creationId xmlns:a16="http://schemas.microsoft.com/office/drawing/2014/main" id="{00000000-0008-0000-0800-00003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9" name="Text Box 78">
          <a:extLst>
            <a:ext uri="{FF2B5EF4-FFF2-40B4-BE49-F238E27FC236}">
              <a16:creationId xmlns:a16="http://schemas.microsoft.com/office/drawing/2014/main" id="{00000000-0008-0000-0800-00003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0" name="Text Box 79">
          <a:extLst>
            <a:ext uri="{FF2B5EF4-FFF2-40B4-BE49-F238E27FC236}">
              <a16:creationId xmlns:a16="http://schemas.microsoft.com/office/drawing/2014/main" id="{00000000-0008-0000-0800-00003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1" name="Text Box 80">
          <a:extLst>
            <a:ext uri="{FF2B5EF4-FFF2-40B4-BE49-F238E27FC236}">
              <a16:creationId xmlns:a16="http://schemas.microsoft.com/office/drawing/2014/main" id="{00000000-0008-0000-0800-00003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2" name="Text Box 81">
          <a:extLst>
            <a:ext uri="{FF2B5EF4-FFF2-40B4-BE49-F238E27FC236}">
              <a16:creationId xmlns:a16="http://schemas.microsoft.com/office/drawing/2014/main" id="{00000000-0008-0000-0800-00003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3" name="Text Box 82">
          <a:extLst>
            <a:ext uri="{FF2B5EF4-FFF2-40B4-BE49-F238E27FC236}">
              <a16:creationId xmlns:a16="http://schemas.microsoft.com/office/drawing/2014/main" id="{00000000-0008-0000-0800-00003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4" name="Text Box 83">
          <a:extLst>
            <a:ext uri="{FF2B5EF4-FFF2-40B4-BE49-F238E27FC236}">
              <a16:creationId xmlns:a16="http://schemas.microsoft.com/office/drawing/2014/main" id="{00000000-0008-0000-0800-00003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5" name="Text Box 84">
          <a:extLst>
            <a:ext uri="{FF2B5EF4-FFF2-40B4-BE49-F238E27FC236}">
              <a16:creationId xmlns:a16="http://schemas.microsoft.com/office/drawing/2014/main" id="{00000000-0008-0000-0800-00003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6" name="Text Box 85">
          <a:extLst>
            <a:ext uri="{FF2B5EF4-FFF2-40B4-BE49-F238E27FC236}">
              <a16:creationId xmlns:a16="http://schemas.microsoft.com/office/drawing/2014/main" id="{00000000-0008-0000-0800-00003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7" name="Text Box 86">
          <a:extLst>
            <a:ext uri="{FF2B5EF4-FFF2-40B4-BE49-F238E27FC236}">
              <a16:creationId xmlns:a16="http://schemas.microsoft.com/office/drawing/2014/main" id="{00000000-0008-0000-0800-00003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8" name="Text Box 87">
          <a:extLst>
            <a:ext uri="{FF2B5EF4-FFF2-40B4-BE49-F238E27FC236}">
              <a16:creationId xmlns:a16="http://schemas.microsoft.com/office/drawing/2014/main" id="{00000000-0008-0000-0800-00003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9" name="Text Box 88">
          <a:extLst>
            <a:ext uri="{FF2B5EF4-FFF2-40B4-BE49-F238E27FC236}">
              <a16:creationId xmlns:a16="http://schemas.microsoft.com/office/drawing/2014/main" id="{00000000-0008-0000-0800-00003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0" name="Text Box 89">
          <a:extLst>
            <a:ext uri="{FF2B5EF4-FFF2-40B4-BE49-F238E27FC236}">
              <a16:creationId xmlns:a16="http://schemas.microsoft.com/office/drawing/2014/main" id="{00000000-0008-0000-0800-00003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1" name="Text Box 90">
          <a:extLst>
            <a:ext uri="{FF2B5EF4-FFF2-40B4-BE49-F238E27FC236}">
              <a16:creationId xmlns:a16="http://schemas.microsoft.com/office/drawing/2014/main" id="{00000000-0008-0000-0800-00003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2" name="Text Box 91">
          <a:extLst>
            <a:ext uri="{FF2B5EF4-FFF2-40B4-BE49-F238E27FC236}">
              <a16:creationId xmlns:a16="http://schemas.microsoft.com/office/drawing/2014/main" id="{00000000-0008-0000-0800-00004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3" name="Text Box 92">
          <a:extLst>
            <a:ext uri="{FF2B5EF4-FFF2-40B4-BE49-F238E27FC236}">
              <a16:creationId xmlns:a16="http://schemas.microsoft.com/office/drawing/2014/main" id="{00000000-0008-0000-0800-00004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4" name="Text Box 93">
          <a:extLst>
            <a:ext uri="{FF2B5EF4-FFF2-40B4-BE49-F238E27FC236}">
              <a16:creationId xmlns:a16="http://schemas.microsoft.com/office/drawing/2014/main" id="{00000000-0008-0000-0800-00004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5" name="Text Box 94">
          <a:extLst>
            <a:ext uri="{FF2B5EF4-FFF2-40B4-BE49-F238E27FC236}">
              <a16:creationId xmlns:a16="http://schemas.microsoft.com/office/drawing/2014/main" id="{00000000-0008-0000-0800-00004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6" name="Text Box 95">
          <a:extLst>
            <a:ext uri="{FF2B5EF4-FFF2-40B4-BE49-F238E27FC236}">
              <a16:creationId xmlns:a16="http://schemas.microsoft.com/office/drawing/2014/main" id="{00000000-0008-0000-0800-00004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7" name="Text Box 96">
          <a:extLst>
            <a:ext uri="{FF2B5EF4-FFF2-40B4-BE49-F238E27FC236}">
              <a16:creationId xmlns:a16="http://schemas.microsoft.com/office/drawing/2014/main" id="{00000000-0008-0000-0800-00004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8" name="Text Box 97">
          <a:extLst>
            <a:ext uri="{FF2B5EF4-FFF2-40B4-BE49-F238E27FC236}">
              <a16:creationId xmlns:a16="http://schemas.microsoft.com/office/drawing/2014/main" id="{00000000-0008-0000-0800-00004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19" name="Text Box 100">
          <a:extLst>
            <a:ext uri="{FF2B5EF4-FFF2-40B4-BE49-F238E27FC236}">
              <a16:creationId xmlns:a16="http://schemas.microsoft.com/office/drawing/2014/main" id="{00000000-0008-0000-0800-00004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0" name="Text Box 101">
          <a:extLst>
            <a:ext uri="{FF2B5EF4-FFF2-40B4-BE49-F238E27FC236}">
              <a16:creationId xmlns:a16="http://schemas.microsoft.com/office/drawing/2014/main" id="{00000000-0008-0000-0800-00004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1" name="Text Box 102">
          <a:extLst>
            <a:ext uri="{FF2B5EF4-FFF2-40B4-BE49-F238E27FC236}">
              <a16:creationId xmlns:a16="http://schemas.microsoft.com/office/drawing/2014/main" id="{00000000-0008-0000-0800-00004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2" name="Text Box 103">
          <a:extLst>
            <a:ext uri="{FF2B5EF4-FFF2-40B4-BE49-F238E27FC236}">
              <a16:creationId xmlns:a16="http://schemas.microsoft.com/office/drawing/2014/main" id="{00000000-0008-0000-0800-00004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3" name="Text Box 104">
          <a:extLst>
            <a:ext uri="{FF2B5EF4-FFF2-40B4-BE49-F238E27FC236}">
              <a16:creationId xmlns:a16="http://schemas.microsoft.com/office/drawing/2014/main" id="{00000000-0008-0000-0800-00004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4" name="Text Box 105">
          <a:extLst>
            <a:ext uri="{FF2B5EF4-FFF2-40B4-BE49-F238E27FC236}">
              <a16:creationId xmlns:a16="http://schemas.microsoft.com/office/drawing/2014/main" id="{00000000-0008-0000-0800-00004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5" name="Text Box 106">
          <a:extLst>
            <a:ext uri="{FF2B5EF4-FFF2-40B4-BE49-F238E27FC236}">
              <a16:creationId xmlns:a16="http://schemas.microsoft.com/office/drawing/2014/main" id="{00000000-0008-0000-0800-00004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6" name="Text Box 107">
          <a:extLst>
            <a:ext uri="{FF2B5EF4-FFF2-40B4-BE49-F238E27FC236}">
              <a16:creationId xmlns:a16="http://schemas.microsoft.com/office/drawing/2014/main" id="{00000000-0008-0000-0800-00004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7" name="Text Box 108">
          <a:extLst>
            <a:ext uri="{FF2B5EF4-FFF2-40B4-BE49-F238E27FC236}">
              <a16:creationId xmlns:a16="http://schemas.microsoft.com/office/drawing/2014/main" id="{00000000-0008-0000-0800-00004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8" name="Text Box 109">
          <a:extLst>
            <a:ext uri="{FF2B5EF4-FFF2-40B4-BE49-F238E27FC236}">
              <a16:creationId xmlns:a16="http://schemas.microsoft.com/office/drawing/2014/main" id="{00000000-0008-0000-0800-00005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9" name="Text Box 110">
          <a:extLst>
            <a:ext uri="{FF2B5EF4-FFF2-40B4-BE49-F238E27FC236}">
              <a16:creationId xmlns:a16="http://schemas.microsoft.com/office/drawing/2014/main" id="{00000000-0008-0000-0800-00005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0" name="Text Box 111">
          <a:extLst>
            <a:ext uri="{FF2B5EF4-FFF2-40B4-BE49-F238E27FC236}">
              <a16:creationId xmlns:a16="http://schemas.microsoft.com/office/drawing/2014/main" id="{00000000-0008-0000-0800-00005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1" name="Text Box 119">
          <a:extLst>
            <a:ext uri="{FF2B5EF4-FFF2-40B4-BE49-F238E27FC236}">
              <a16:creationId xmlns:a16="http://schemas.microsoft.com/office/drawing/2014/main" id="{00000000-0008-0000-0800-00005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2" name="Text Box 120">
          <a:extLst>
            <a:ext uri="{FF2B5EF4-FFF2-40B4-BE49-F238E27FC236}">
              <a16:creationId xmlns:a16="http://schemas.microsoft.com/office/drawing/2014/main" id="{00000000-0008-0000-0800-00005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3" name="Text Box 121">
          <a:extLst>
            <a:ext uri="{FF2B5EF4-FFF2-40B4-BE49-F238E27FC236}">
              <a16:creationId xmlns:a16="http://schemas.microsoft.com/office/drawing/2014/main" id="{00000000-0008-0000-0800-00005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4" name="Text Box 122">
          <a:extLst>
            <a:ext uri="{FF2B5EF4-FFF2-40B4-BE49-F238E27FC236}">
              <a16:creationId xmlns:a16="http://schemas.microsoft.com/office/drawing/2014/main" id="{00000000-0008-0000-0800-00005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5" name="Text Box 123">
          <a:extLst>
            <a:ext uri="{FF2B5EF4-FFF2-40B4-BE49-F238E27FC236}">
              <a16:creationId xmlns:a16="http://schemas.microsoft.com/office/drawing/2014/main" id="{00000000-0008-0000-0800-00005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6" name="Text Box 124">
          <a:extLst>
            <a:ext uri="{FF2B5EF4-FFF2-40B4-BE49-F238E27FC236}">
              <a16:creationId xmlns:a16="http://schemas.microsoft.com/office/drawing/2014/main" id="{00000000-0008-0000-0800-00005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7" name="Text Box 125">
          <a:extLst>
            <a:ext uri="{FF2B5EF4-FFF2-40B4-BE49-F238E27FC236}">
              <a16:creationId xmlns:a16="http://schemas.microsoft.com/office/drawing/2014/main" id="{00000000-0008-0000-0800-00005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8" name="Text Box 126">
          <a:extLst>
            <a:ext uri="{FF2B5EF4-FFF2-40B4-BE49-F238E27FC236}">
              <a16:creationId xmlns:a16="http://schemas.microsoft.com/office/drawing/2014/main" id="{00000000-0008-0000-0800-00005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9" name="Text Box 127">
          <a:extLst>
            <a:ext uri="{FF2B5EF4-FFF2-40B4-BE49-F238E27FC236}">
              <a16:creationId xmlns:a16="http://schemas.microsoft.com/office/drawing/2014/main" id="{00000000-0008-0000-0800-00005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0" name="Text Box 128">
          <a:extLst>
            <a:ext uri="{FF2B5EF4-FFF2-40B4-BE49-F238E27FC236}">
              <a16:creationId xmlns:a16="http://schemas.microsoft.com/office/drawing/2014/main" id="{00000000-0008-0000-0800-00005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1" name="Text Box 129">
          <a:extLst>
            <a:ext uri="{FF2B5EF4-FFF2-40B4-BE49-F238E27FC236}">
              <a16:creationId xmlns:a16="http://schemas.microsoft.com/office/drawing/2014/main" id="{00000000-0008-0000-0800-00005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2" name="Text Box 130">
          <a:extLst>
            <a:ext uri="{FF2B5EF4-FFF2-40B4-BE49-F238E27FC236}">
              <a16:creationId xmlns:a16="http://schemas.microsoft.com/office/drawing/2014/main" id="{00000000-0008-0000-0800-00005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3" name="Text Box 133">
          <a:extLst>
            <a:ext uri="{FF2B5EF4-FFF2-40B4-BE49-F238E27FC236}">
              <a16:creationId xmlns:a16="http://schemas.microsoft.com/office/drawing/2014/main" id="{00000000-0008-0000-0800-00005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4" name="Text Box 134">
          <a:extLst>
            <a:ext uri="{FF2B5EF4-FFF2-40B4-BE49-F238E27FC236}">
              <a16:creationId xmlns:a16="http://schemas.microsoft.com/office/drawing/2014/main" id="{00000000-0008-0000-0800-00006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5" name="Text Box 135">
          <a:extLst>
            <a:ext uri="{FF2B5EF4-FFF2-40B4-BE49-F238E27FC236}">
              <a16:creationId xmlns:a16="http://schemas.microsoft.com/office/drawing/2014/main" id="{00000000-0008-0000-0800-00006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6" name="Text Box 136">
          <a:extLst>
            <a:ext uri="{FF2B5EF4-FFF2-40B4-BE49-F238E27FC236}">
              <a16:creationId xmlns:a16="http://schemas.microsoft.com/office/drawing/2014/main" id="{00000000-0008-0000-0800-00006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7" name="Text Box 137">
          <a:extLst>
            <a:ext uri="{FF2B5EF4-FFF2-40B4-BE49-F238E27FC236}">
              <a16:creationId xmlns:a16="http://schemas.microsoft.com/office/drawing/2014/main" id="{00000000-0008-0000-0800-00006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8" name="Text Box 138">
          <a:extLst>
            <a:ext uri="{FF2B5EF4-FFF2-40B4-BE49-F238E27FC236}">
              <a16:creationId xmlns:a16="http://schemas.microsoft.com/office/drawing/2014/main" id="{00000000-0008-0000-0800-00006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9" name="Text Box 139">
          <a:extLst>
            <a:ext uri="{FF2B5EF4-FFF2-40B4-BE49-F238E27FC236}">
              <a16:creationId xmlns:a16="http://schemas.microsoft.com/office/drawing/2014/main" id="{00000000-0008-0000-0800-00006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0" name="Text Box 140">
          <a:extLst>
            <a:ext uri="{FF2B5EF4-FFF2-40B4-BE49-F238E27FC236}">
              <a16:creationId xmlns:a16="http://schemas.microsoft.com/office/drawing/2014/main" id="{00000000-0008-0000-0800-00006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1" name="Text Box 141">
          <a:extLst>
            <a:ext uri="{FF2B5EF4-FFF2-40B4-BE49-F238E27FC236}">
              <a16:creationId xmlns:a16="http://schemas.microsoft.com/office/drawing/2014/main" id="{00000000-0008-0000-0800-00006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2" name="Text Box 142">
          <a:extLst>
            <a:ext uri="{FF2B5EF4-FFF2-40B4-BE49-F238E27FC236}">
              <a16:creationId xmlns:a16="http://schemas.microsoft.com/office/drawing/2014/main" id="{00000000-0008-0000-0800-00006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3" name="Text Box 143">
          <a:extLst>
            <a:ext uri="{FF2B5EF4-FFF2-40B4-BE49-F238E27FC236}">
              <a16:creationId xmlns:a16="http://schemas.microsoft.com/office/drawing/2014/main" id="{00000000-0008-0000-0800-00006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4" name="Text Box 144">
          <a:extLst>
            <a:ext uri="{FF2B5EF4-FFF2-40B4-BE49-F238E27FC236}">
              <a16:creationId xmlns:a16="http://schemas.microsoft.com/office/drawing/2014/main" id="{00000000-0008-0000-0800-00006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5" name="Text Box 145">
          <a:extLst>
            <a:ext uri="{FF2B5EF4-FFF2-40B4-BE49-F238E27FC236}">
              <a16:creationId xmlns:a16="http://schemas.microsoft.com/office/drawing/2014/main" id="{00000000-0008-0000-0800-00006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6" name="Text Box 146">
          <a:extLst>
            <a:ext uri="{FF2B5EF4-FFF2-40B4-BE49-F238E27FC236}">
              <a16:creationId xmlns:a16="http://schemas.microsoft.com/office/drawing/2014/main" id="{00000000-0008-0000-0800-00006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7" name="Text Box 147">
          <a:extLst>
            <a:ext uri="{FF2B5EF4-FFF2-40B4-BE49-F238E27FC236}">
              <a16:creationId xmlns:a16="http://schemas.microsoft.com/office/drawing/2014/main" id="{00000000-0008-0000-0800-00006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8" name="Text Box 148">
          <a:extLst>
            <a:ext uri="{FF2B5EF4-FFF2-40B4-BE49-F238E27FC236}">
              <a16:creationId xmlns:a16="http://schemas.microsoft.com/office/drawing/2014/main" id="{00000000-0008-0000-0800-00006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9" name="Text Box 149">
          <a:extLst>
            <a:ext uri="{FF2B5EF4-FFF2-40B4-BE49-F238E27FC236}">
              <a16:creationId xmlns:a16="http://schemas.microsoft.com/office/drawing/2014/main" id="{00000000-0008-0000-0800-00006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0" name="Text Box 150">
          <a:extLst>
            <a:ext uri="{FF2B5EF4-FFF2-40B4-BE49-F238E27FC236}">
              <a16:creationId xmlns:a16="http://schemas.microsoft.com/office/drawing/2014/main" id="{00000000-0008-0000-0800-00007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1" name="Text Box 151">
          <a:extLst>
            <a:ext uri="{FF2B5EF4-FFF2-40B4-BE49-F238E27FC236}">
              <a16:creationId xmlns:a16="http://schemas.microsoft.com/office/drawing/2014/main" id="{00000000-0008-0000-0800-00007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2" name="Text Box 152">
          <a:extLst>
            <a:ext uri="{FF2B5EF4-FFF2-40B4-BE49-F238E27FC236}">
              <a16:creationId xmlns:a16="http://schemas.microsoft.com/office/drawing/2014/main" id="{00000000-0008-0000-0800-00007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3" name="Text Box 153">
          <a:extLst>
            <a:ext uri="{FF2B5EF4-FFF2-40B4-BE49-F238E27FC236}">
              <a16:creationId xmlns:a16="http://schemas.microsoft.com/office/drawing/2014/main" id="{00000000-0008-0000-0800-00007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4" name="Text Box 154">
          <a:extLst>
            <a:ext uri="{FF2B5EF4-FFF2-40B4-BE49-F238E27FC236}">
              <a16:creationId xmlns:a16="http://schemas.microsoft.com/office/drawing/2014/main" id="{00000000-0008-0000-0800-00007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5" name="Text Box 155">
          <a:extLst>
            <a:ext uri="{FF2B5EF4-FFF2-40B4-BE49-F238E27FC236}">
              <a16:creationId xmlns:a16="http://schemas.microsoft.com/office/drawing/2014/main" id="{00000000-0008-0000-0800-00007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6" name="Text Box 156">
          <a:extLst>
            <a:ext uri="{FF2B5EF4-FFF2-40B4-BE49-F238E27FC236}">
              <a16:creationId xmlns:a16="http://schemas.microsoft.com/office/drawing/2014/main" id="{00000000-0008-0000-0800-00007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7" name="Text Box 157">
          <a:extLst>
            <a:ext uri="{FF2B5EF4-FFF2-40B4-BE49-F238E27FC236}">
              <a16:creationId xmlns:a16="http://schemas.microsoft.com/office/drawing/2014/main" id="{00000000-0008-0000-0800-00007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8" name="Text Box 158">
          <a:extLst>
            <a:ext uri="{FF2B5EF4-FFF2-40B4-BE49-F238E27FC236}">
              <a16:creationId xmlns:a16="http://schemas.microsoft.com/office/drawing/2014/main" id="{00000000-0008-0000-0800-00007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9" name="Text Box 159">
          <a:extLst>
            <a:ext uri="{FF2B5EF4-FFF2-40B4-BE49-F238E27FC236}">
              <a16:creationId xmlns:a16="http://schemas.microsoft.com/office/drawing/2014/main" id="{00000000-0008-0000-0800-00007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0" name="Text Box 160">
          <a:extLst>
            <a:ext uri="{FF2B5EF4-FFF2-40B4-BE49-F238E27FC236}">
              <a16:creationId xmlns:a16="http://schemas.microsoft.com/office/drawing/2014/main" id="{00000000-0008-0000-0800-00007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1" name="Text Box 161">
          <a:extLst>
            <a:ext uri="{FF2B5EF4-FFF2-40B4-BE49-F238E27FC236}">
              <a16:creationId xmlns:a16="http://schemas.microsoft.com/office/drawing/2014/main" id="{00000000-0008-0000-0800-00007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2" name="Text Box 162">
          <a:extLst>
            <a:ext uri="{FF2B5EF4-FFF2-40B4-BE49-F238E27FC236}">
              <a16:creationId xmlns:a16="http://schemas.microsoft.com/office/drawing/2014/main" id="{00000000-0008-0000-0800-00007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3" name="Text Box 163">
          <a:extLst>
            <a:ext uri="{FF2B5EF4-FFF2-40B4-BE49-F238E27FC236}">
              <a16:creationId xmlns:a16="http://schemas.microsoft.com/office/drawing/2014/main" id="{00000000-0008-0000-0800-00007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4" name="Text Box 164">
          <a:extLst>
            <a:ext uri="{FF2B5EF4-FFF2-40B4-BE49-F238E27FC236}">
              <a16:creationId xmlns:a16="http://schemas.microsoft.com/office/drawing/2014/main" id="{00000000-0008-0000-0800-00007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5" name="Text Box 165">
          <a:extLst>
            <a:ext uri="{FF2B5EF4-FFF2-40B4-BE49-F238E27FC236}">
              <a16:creationId xmlns:a16="http://schemas.microsoft.com/office/drawing/2014/main" id="{00000000-0008-0000-0800-00007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6" name="Text Box 166">
          <a:extLst>
            <a:ext uri="{FF2B5EF4-FFF2-40B4-BE49-F238E27FC236}">
              <a16:creationId xmlns:a16="http://schemas.microsoft.com/office/drawing/2014/main" id="{00000000-0008-0000-0800-00008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7" name="Text Box 167">
          <a:extLst>
            <a:ext uri="{FF2B5EF4-FFF2-40B4-BE49-F238E27FC236}">
              <a16:creationId xmlns:a16="http://schemas.microsoft.com/office/drawing/2014/main" id="{00000000-0008-0000-0800-00008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8" name="Text Box 168">
          <a:extLst>
            <a:ext uri="{FF2B5EF4-FFF2-40B4-BE49-F238E27FC236}">
              <a16:creationId xmlns:a16="http://schemas.microsoft.com/office/drawing/2014/main" id="{00000000-0008-0000-0800-00008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9" name="Text Box 169">
          <a:extLst>
            <a:ext uri="{FF2B5EF4-FFF2-40B4-BE49-F238E27FC236}">
              <a16:creationId xmlns:a16="http://schemas.microsoft.com/office/drawing/2014/main" id="{00000000-0008-0000-0800-00008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0" name="Text Box 170">
          <a:extLst>
            <a:ext uri="{FF2B5EF4-FFF2-40B4-BE49-F238E27FC236}">
              <a16:creationId xmlns:a16="http://schemas.microsoft.com/office/drawing/2014/main" id="{00000000-0008-0000-0800-00008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1" name="Text Box 171">
          <a:extLst>
            <a:ext uri="{FF2B5EF4-FFF2-40B4-BE49-F238E27FC236}">
              <a16:creationId xmlns:a16="http://schemas.microsoft.com/office/drawing/2014/main" id="{00000000-0008-0000-0800-00008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2" name="Text Box 172">
          <a:extLst>
            <a:ext uri="{FF2B5EF4-FFF2-40B4-BE49-F238E27FC236}">
              <a16:creationId xmlns:a16="http://schemas.microsoft.com/office/drawing/2014/main" id="{00000000-0008-0000-0800-00008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3" name="Text Box 173">
          <a:extLst>
            <a:ext uri="{FF2B5EF4-FFF2-40B4-BE49-F238E27FC236}">
              <a16:creationId xmlns:a16="http://schemas.microsoft.com/office/drawing/2014/main" id="{00000000-0008-0000-0800-00008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4" name="Text Box 174">
          <a:extLst>
            <a:ext uri="{FF2B5EF4-FFF2-40B4-BE49-F238E27FC236}">
              <a16:creationId xmlns:a16="http://schemas.microsoft.com/office/drawing/2014/main" id="{00000000-0008-0000-0800-00008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5" name="Text Box 175">
          <a:extLst>
            <a:ext uri="{FF2B5EF4-FFF2-40B4-BE49-F238E27FC236}">
              <a16:creationId xmlns:a16="http://schemas.microsoft.com/office/drawing/2014/main" id="{00000000-0008-0000-0800-00008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6" name="Text Box 176">
          <a:extLst>
            <a:ext uri="{FF2B5EF4-FFF2-40B4-BE49-F238E27FC236}">
              <a16:creationId xmlns:a16="http://schemas.microsoft.com/office/drawing/2014/main" id="{00000000-0008-0000-0800-00008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7" name="Text Box 177">
          <a:extLst>
            <a:ext uri="{FF2B5EF4-FFF2-40B4-BE49-F238E27FC236}">
              <a16:creationId xmlns:a16="http://schemas.microsoft.com/office/drawing/2014/main" id="{00000000-0008-0000-0800-00008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8" name="Text Box 178">
          <a:extLst>
            <a:ext uri="{FF2B5EF4-FFF2-40B4-BE49-F238E27FC236}">
              <a16:creationId xmlns:a16="http://schemas.microsoft.com/office/drawing/2014/main" id="{00000000-0008-0000-0800-00008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9" name="Text Box 179">
          <a:extLst>
            <a:ext uri="{FF2B5EF4-FFF2-40B4-BE49-F238E27FC236}">
              <a16:creationId xmlns:a16="http://schemas.microsoft.com/office/drawing/2014/main" id="{00000000-0008-0000-0800-00008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0" name="Text Box 180">
          <a:extLst>
            <a:ext uri="{FF2B5EF4-FFF2-40B4-BE49-F238E27FC236}">
              <a16:creationId xmlns:a16="http://schemas.microsoft.com/office/drawing/2014/main" id="{00000000-0008-0000-0800-00008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1" name="Text Box 181">
          <a:extLst>
            <a:ext uri="{FF2B5EF4-FFF2-40B4-BE49-F238E27FC236}">
              <a16:creationId xmlns:a16="http://schemas.microsoft.com/office/drawing/2014/main" id="{00000000-0008-0000-0800-00008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2" name="Text Box 182">
          <a:extLst>
            <a:ext uri="{FF2B5EF4-FFF2-40B4-BE49-F238E27FC236}">
              <a16:creationId xmlns:a16="http://schemas.microsoft.com/office/drawing/2014/main" id="{00000000-0008-0000-0800-00009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3" name="Text Box 183">
          <a:extLst>
            <a:ext uri="{FF2B5EF4-FFF2-40B4-BE49-F238E27FC236}">
              <a16:creationId xmlns:a16="http://schemas.microsoft.com/office/drawing/2014/main" id="{00000000-0008-0000-0800-00009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4" name="Text Box 184">
          <a:extLst>
            <a:ext uri="{FF2B5EF4-FFF2-40B4-BE49-F238E27FC236}">
              <a16:creationId xmlns:a16="http://schemas.microsoft.com/office/drawing/2014/main" id="{00000000-0008-0000-0800-00009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5" name="Text Box 185">
          <a:extLst>
            <a:ext uri="{FF2B5EF4-FFF2-40B4-BE49-F238E27FC236}">
              <a16:creationId xmlns:a16="http://schemas.microsoft.com/office/drawing/2014/main" id="{00000000-0008-0000-0800-00009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6" name="Text Box 186">
          <a:extLst>
            <a:ext uri="{FF2B5EF4-FFF2-40B4-BE49-F238E27FC236}">
              <a16:creationId xmlns:a16="http://schemas.microsoft.com/office/drawing/2014/main" id="{00000000-0008-0000-0800-00009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7" name="Text Box 187">
          <a:extLst>
            <a:ext uri="{FF2B5EF4-FFF2-40B4-BE49-F238E27FC236}">
              <a16:creationId xmlns:a16="http://schemas.microsoft.com/office/drawing/2014/main" id="{00000000-0008-0000-0800-00009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8" name="Text Box 188">
          <a:extLst>
            <a:ext uri="{FF2B5EF4-FFF2-40B4-BE49-F238E27FC236}">
              <a16:creationId xmlns:a16="http://schemas.microsoft.com/office/drawing/2014/main" id="{00000000-0008-0000-0800-00009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9" name="Text Box 189">
          <a:extLst>
            <a:ext uri="{FF2B5EF4-FFF2-40B4-BE49-F238E27FC236}">
              <a16:creationId xmlns:a16="http://schemas.microsoft.com/office/drawing/2014/main" id="{00000000-0008-0000-0800-00009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0" name="Text Box 190">
          <a:extLst>
            <a:ext uri="{FF2B5EF4-FFF2-40B4-BE49-F238E27FC236}">
              <a16:creationId xmlns:a16="http://schemas.microsoft.com/office/drawing/2014/main" id="{00000000-0008-0000-0800-00009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1" name="Text Box 191">
          <a:extLst>
            <a:ext uri="{FF2B5EF4-FFF2-40B4-BE49-F238E27FC236}">
              <a16:creationId xmlns:a16="http://schemas.microsoft.com/office/drawing/2014/main" id="{00000000-0008-0000-0800-00009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2" name="Text Box 192">
          <a:extLst>
            <a:ext uri="{FF2B5EF4-FFF2-40B4-BE49-F238E27FC236}">
              <a16:creationId xmlns:a16="http://schemas.microsoft.com/office/drawing/2014/main" id="{00000000-0008-0000-0800-00009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3" name="Text Box 193">
          <a:extLst>
            <a:ext uri="{FF2B5EF4-FFF2-40B4-BE49-F238E27FC236}">
              <a16:creationId xmlns:a16="http://schemas.microsoft.com/office/drawing/2014/main" id="{00000000-0008-0000-0800-00009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4" name="Text Box 194">
          <a:extLst>
            <a:ext uri="{FF2B5EF4-FFF2-40B4-BE49-F238E27FC236}">
              <a16:creationId xmlns:a16="http://schemas.microsoft.com/office/drawing/2014/main" id="{00000000-0008-0000-0800-00009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5" name="Text Box 195">
          <a:extLst>
            <a:ext uri="{FF2B5EF4-FFF2-40B4-BE49-F238E27FC236}">
              <a16:creationId xmlns:a16="http://schemas.microsoft.com/office/drawing/2014/main" id="{00000000-0008-0000-0800-00009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6" name="Text Box 196">
          <a:extLst>
            <a:ext uri="{FF2B5EF4-FFF2-40B4-BE49-F238E27FC236}">
              <a16:creationId xmlns:a16="http://schemas.microsoft.com/office/drawing/2014/main" id="{00000000-0008-0000-0800-00009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7" name="Text Box 197">
          <a:extLst>
            <a:ext uri="{FF2B5EF4-FFF2-40B4-BE49-F238E27FC236}">
              <a16:creationId xmlns:a16="http://schemas.microsoft.com/office/drawing/2014/main" id="{00000000-0008-0000-0800-00009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8" name="Text Box 198">
          <a:extLst>
            <a:ext uri="{FF2B5EF4-FFF2-40B4-BE49-F238E27FC236}">
              <a16:creationId xmlns:a16="http://schemas.microsoft.com/office/drawing/2014/main" id="{00000000-0008-0000-0800-0000A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9" name="Text Box 199">
          <a:extLst>
            <a:ext uri="{FF2B5EF4-FFF2-40B4-BE49-F238E27FC236}">
              <a16:creationId xmlns:a16="http://schemas.microsoft.com/office/drawing/2014/main" id="{00000000-0008-0000-0800-0000A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0" name="Text Box 200">
          <a:extLst>
            <a:ext uri="{FF2B5EF4-FFF2-40B4-BE49-F238E27FC236}">
              <a16:creationId xmlns:a16="http://schemas.microsoft.com/office/drawing/2014/main" id="{00000000-0008-0000-0800-0000A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1" name="Text Box 201">
          <a:extLst>
            <a:ext uri="{FF2B5EF4-FFF2-40B4-BE49-F238E27FC236}">
              <a16:creationId xmlns:a16="http://schemas.microsoft.com/office/drawing/2014/main" id="{00000000-0008-0000-0800-0000A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2" name="Text Box 202">
          <a:extLst>
            <a:ext uri="{FF2B5EF4-FFF2-40B4-BE49-F238E27FC236}">
              <a16:creationId xmlns:a16="http://schemas.microsoft.com/office/drawing/2014/main" id="{00000000-0008-0000-0800-0000A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3" name="Text Box 203">
          <a:extLst>
            <a:ext uri="{FF2B5EF4-FFF2-40B4-BE49-F238E27FC236}">
              <a16:creationId xmlns:a16="http://schemas.microsoft.com/office/drawing/2014/main" id="{00000000-0008-0000-0800-0000A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4" name="Text Box 204">
          <a:extLst>
            <a:ext uri="{FF2B5EF4-FFF2-40B4-BE49-F238E27FC236}">
              <a16:creationId xmlns:a16="http://schemas.microsoft.com/office/drawing/2014/main" id="{00000000-0008-0000-0800-0000A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5" name="Text Box 205">
          <a:extLst>
            <a:ext uri="{FF2B5EF4-FFF2-40B4-BE49-F238E27FC236}">
              <a16:creationId xmlns:a16="http://schemas.microsoft.com/office/drawing/2014/main" id="{00000000-0008-0000-0800-0000A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6" name="Text Box 206">
          <a:extLst>
            <a:ext uri="{FF2B5EF4-FFF2-40B4-BE49-F238E27FC236}">
              <a16:creationId xmlns:a16="http://schemas.microsoft.com/office/drawing/2014/main" id="{00000000-0008-0000-0800-0000A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7" name="Text Box 207">
          <a:extLst>
            <a:ext uri="{FF2B5EF4-FFF2-40B4-BE49-F238E27FC236}">
              <a16:creationId xmlns:a16="http://schemas.microsoft.com/office/drawing/2014/main" id="{00000000-0008-0000-0800-0000A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8" name="Text Box 208">
          <a:extLst>
            <a:ext uri="{FF2B5EF4-FFF2-40B4-BE49-F238E27FC236}">
              <a16:creationId xmlns:a16="http://schemas.microsoft.com/office/drawing/2014/main" id="{00000000-0008-0000-0800-0000A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9" name="Text Box 209">
          <a:extLst>
            <a:ext uri="{FF2B5EF4-FFF2-40B4-BE49-F238E27FC236}">
              <a16:creationId xmlns:a16="http://schemas.microsoft.com/office/drawing/2014/main" id="{00000000-0008-0000-0800-0000A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0" name="Text Box 210">
          <a:extLst>
            <a:ext uri="{FF2B5EF4-FFF2-40B4-BE49-F238E27FC236}">
              <a16:creationId xmlns:a16="http://schemas.microsoft.com/office/drawing/2014/main" id="{00000000-0008-0000-0800-0000A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1" name="Text Box 211">
          <a:extLst>
            <a:ext uri="{FF2B5EF4-FFF2-40B4-BE49-F238E27FC236}">
              <a16:creationId xmlns:a16="http://schemas.microsoft.com/office/drawing/2014/main" id="{00000000-0008-0000-0800-0000A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2" name="Text Box 212">
          <a:extLst>
            <a:ext uri="{FF2B5EF4-FFF2-40B4-BE49-F238E27FC236}">
              <a16:creationId xmlns:a16="http://schemas.microsoft.com/office/drawing/2014/main" id="{00000000-0008-0000-0800-0000A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3" name="Text Box 213">
          <a:extLst>
            <a:ext uri="{FF2B5EF4-FFF2-40B4-BE49-F238E27FC236}">
              <a16:creationId xmlns:a16="http://schemas.microsoft.com/office/drawing/2014/main" id="{00000000-0008-0000-0800-0000A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4" name="Text Box 214">
          <a:extLst>
            <a:ext uri="{FF2B5EF4-FFF2-40B4-BE49-F238E27FC236}">
              <a16:creationId xmlns:a16="http://schemas.microsoft.com/office/drawing/2014/main" id="{00000000-0008-0000-0800-0000B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5" name="Text Box 215">
          <a:extLst>
            <a:ext uri="{FF2B5EF4-FFF2-40B4-BE49-F238E27FC236}">
              <a16:creationId xmlns:a16="http://schemas.microsoft.com/office/drawing/2014/main" id="{00000000-0008-0000-0800-0000B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6" name="Text Box 216">
          <a:extLst>
            <a:ext uri="{FF2B5EF4-FFF2-40B4-BE49-F238E27FC236}">
              <a16:creationId xmlns:a16="http://schemas.microsoft.com/office/drawing/2014/main" id="{00000000-0008-0000-0800-0000B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7" name="Text Box 217">
          <a:extLst>
            <a:ext uri="{FF2B5EF4-FFF2-40B4-BE49-F238E27FC236}">
              <a16:creationId xmlns:a16="http://schemas.microsoft.com/office/drawing/2014/main" id="{00000000-0008-0000-0800-0000B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8" name="Text Box 218">
          <a:extLst>
            <a:ext uri="{FF2B5EF4-FFF2-40B4-BE49-F238E27FC236}">
              <a16:creationId xmlns:a16="http://schemas.microsoft.com/office/drawing/2014/main" id="{00000000-0008-0000-0800-0000B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9" name="Text Box 219">
          <a:extLst>
            <a:ext uri="{FF2B5EF4-FFF2-40B4-BE49-F238E27FC236}">
              <a16:creationId xmlns:a16="http://schemas.microsoft.com/office/drawing/2014/main" id="{00000000-0008-0000-0800-0000B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0" name="Text Box 220">
          <a:extLst>
            <a:ext uri="{FF2B5EF4-FFF2-40B4-BE49-F238E27FC236}">
              <a16:creationId xmlns:a16="http://schemas.microsoft.com/office/drawing/2014/main" id="{00000000-0008-0000-0800-0000B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1" name="Text Box 221">
          <a:extLst>
            <a:ext uri="{FF2B5EF4-FFF2-40B4-BE49-F238E27FC236}">
              <a16:creationId xmlns:a16="http://schemas.microsoft.com/office/drawing/2014/main" id="{00000000-0008-0000-0800-0000B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2" name="Text Box 222">
          <a:extLst>
            <a:ext uri="{FF2B5EF4-FFF2-40B4-BE49-F238E27FC236}">
              <a16:creationId xmlns:a16="http://schemas.microsoft.com/office/drawing/2014/main" id="{00000000-0008-0000-0800-0000B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3" name="Text Box 223">
          <a:extLst>
            <a:ext uri="{FF2B5EF4-FFF2-40B4-BE49-F238E27FC236}">
              <a16:creationId xmlns:a16="http://schemas.microsoft.com/office/drawing/2014/main" id="{00000000-0008-0000-0800-0000B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4" name="Text Box 224">
          <a:extLst>
            <a:ext uri="{FF2B5EF4-FFF2-40B4-BE49-F238E27FC236}">
              <a16:creationId xmlns:a16="http://schemas.microsoft.com/office/drawing/2014/main" id="{00000000-0008-0000-0800-0000B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5" name="Text Box 225">
          <a:extLst>
            <a:ext uri="{FF2B5EF4-FFF2-40B4-BE49-F238E27FC236}">
              <a16:creationId xmlns:a16="http://schemas.microsoft.com/office/drawing/2014/main" id="{00000000-0008-0000-0800-0000B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6" name="Text Box 226">
          <a:extLst>
            <a:ext uri="{FF2B5EF4-FFF2-40B4-BE49-F238E27FC236}">
              <a16:creationId xmlns:a16="http://schemas.microsoft.com/office/drawing/2014/main" id="{00000000-0008-0000-0800-0000B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7" name="Text Box 227">
          <a:extLst>
            <a:ext uri="{FF2B5EF4-FFF2-40B4-BE49-F238E27FC236}">
              <a16:creationId xmlns:a16="http://schemas.microsoft.com/office/drawing/2014/main" id="{00000000-0008-0000-0800-0000B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8" name="Text Box 228">
          <a:extLst>
            <a:ext uri="{FF2B5EF4-FFF2-40B4-BE49-F238E27FC236}">
              <a16:creationId xmlns:a16="http://schemas.microsoft.com/office/drawing/2014/main" id="{00000000-0008-0000-0800-0000B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9" name="Text Box 229">
          <a:extLst>
            <a:ext uri="{FF2B5EF4-FFF2-40B4-BE49-F238E27FC236}">
              <a16:creationId xmlns:a16="http://schemas.microsoft.com/office/drawing/2014/main" id="{00000000-0008-0000-0800-0000B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0" name="Text Box 230">
          <a:extLst>
            <a:ext uri="{FF2B5EF4-FFF2-40B4-BE49-F238E27FC236}">
              <a16:creationId xmlns:a16="http://schemas.microsoft.com/office/drawing/2014/main" id="{00000000-0008-0000-0800-0000C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1" name="Text Box 231">
          <a:extLst>
            <a:ext uri="{FF2B5EF4-FFF2-40B4-BE49-F238E27FC236}">
              <a16:creationId xmlns:a16="http://schemas.microsoft.com/office/drawing/2014/main" id="{00000000-0008-0000-0800-0000C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2" name="Text Box 232">
          <a:extLst>
            <a:ext uri="{FF2B5EF4-FFF2-40B4-BE49-F238E27FC236}">
              <a16:creationId xmlns:a16="http://schemas.microsoft.com/office/drawing/2014/main" id="{00000000-0008-0000-0800-0000C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3" name="Text Box 233">
          <a:extLst>
            <a:ext uri="{FF2B5EF4-FFF2-40B4-BE49-F238E27FC236}">
              <a16:creationId xmlns:a16="http://schemas.microsoft.com/office/drawing/2014/main" id="{00000000-0008-0000-0800-0000C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4" name="Text Box 234">
          <a:extLst>
            <a:ext uri="{FF2B5EF4-FFF2-40B4-BE49-F238E27FC236}">
              <a16:creationId xmlns:a16="http://schemas.microsoft.com/office/drawing/2014/main" id="{00000000-0008-0000-0800-0000C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5" name="Text Box 235">
          <a:extLst>
            <a:ext uri="{FF2B5EF4-FFF2-40B4-BE49-F238E27FC236}">
              <a16:creationId xmlns:a16="http://schemas.microsoft.com/office/drawing/2014/main" id="{00000000-0008-0000-0800-0000C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6" name="Text Box 236">
          <a:extLst>
            <a:ext uri="{FF2B5EF4-FFF2-40B4-BE49-F238E27FC236}">
              <a16:creationId xmlns:a16="http://schemas.microsoft.com/office/drawing/2014/main" id="{00000000-0008-0000-0800-0000C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7" name="Text Box 237">
          <a:extLst>
            <a:ext uri="{FF2B5EF4-FFF2-40B4-BE49-F238E27FC236}">
              <a16:creationId xmlns:a16="http://schemas.microsoft.com/office/drawing/2014/main" id="{00000000-0008-0000-0800-0000C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8" name="Text Box 238">
          <a:extLst>
            <a:ext uri="{FF2B5EF4-FFF2-40B4-BE49-F238E27FC236}">
              <a16:creationId xmlns:a16="http://schemas.microsoft.com/office/drawing/2014/main" id="{00000000-0008-0000-0800-0000C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9" name="Text Box 239">
          <a:extLst>
            <a:ext uri="{FF2B5EF4-FFF2-40B4-BE49-F238E27FC236}">
              <a16:creationId xmlns:a16="http://schemas.microsoft.com/office/drawing/2014/main" id="{00000000-0008-0000-0800-0000C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0" name="Text Box 240">
          <a:extLst>
            <a:ext uri="{FF2B5EF4-FFF2-40B4-BE49-F238E27FC236}">
              <a16:creationId xmlns:a16="http://schemas.microsoft.com/office/drawing/2014/main" id="{00000000-0008-0000-0800-0000C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1" name="Text Box 241">
          <a:extLst>
            <a:ext uri="{FF2B5EF4-FFF2-40B4-BE49-F238E27FC236}">
              <a16:creationId xmlns:a16="http://schemas.microsoft.com/office/drawing/2014/main" id="{00000000-0008-0000-0800-0000C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2" name="Text Box 242">
          <a:extLst>
            <a:ext uri="{FF2B5EF4-FFF2-40B4-BE49-F238E27FC236}">
              <a16:creationId xmlns:a16="http://schemas.microsoft.com/office/drawing/2014/main" id="{00000000-0008-0000-0800-0000C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3" name="Text Box 243">
          <a:extLst>
            <a:ext uri="{FF2B5EF4-FFF2-40B4-BE49-F238E27FC236}">
              <a16:creationId xmlns:a16="http://schemas.microsoft.com/office/drawing/2014/main" id="{00000000-0008-0000-0800-0000C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4" name="Text Box 244">
          <a:extLst>
            <a:ext uri="{FF2B5EF4-FFF2-40B4-BE49-F238E27FC236}">
              <a16:creationId xmlns:a16="http://schemas.microsoft.com/office/drawing/2014/main" id="{00000000-0008-0000-0800-0000C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5" name="Text Box 245">
          <a:extLst>
            <a:ext uri="{FF2B5EF4-FFF2-40B4-BE49-F238E27FC236}">
              <a16:creationId xmlns:a16="http://schemas.microsoft.com/office/drawing/2014/main" id="{00000000-0008-0000-0800-0000C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6" name="Text Box 246">
          <a:extLst>
            <a:ext uri="{FF2B5EF4-FFF2-40B4-BE49-F238E27FC236}">
              <a16:creationId xmlns:a16="http://schemas.microsoft.com/office/drawing/2014/main" id="{00000000-0008-0000-0800-0000D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7" name="Text Box 247">
          <a:extLst>
            <a:ext uri="{FF2B5EF4-FFF2-40B4-BE49-F238E27FC236}">
              <a16:creationId xmlns:a16="http://schemas.microsoft.com/office/drawing/2014/main" id="{00000000-0008-0000-0800-0000D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8" name="Text Box 248">
          <a:extLst>
            <a:ext uri="{FF2B5EF4-FFF2-40B4-BE49-F238E27FC236}">
              <a16:creationId xmlns:a16="http://schemas.microsoft.com/office/drawing/2014/main" id="{00000000-0008-0000-0800-0000D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9" name="Text Box 249">
          <a:extLst>
            <a:ext uri="{FF2B5EF4-FFF2-40B4-BE49-F238E27FC236}">
              <a16:creationId xmlns:a16="http://schemas.microsoft.com/office/drawing/2014/main" id="{00000000-0008-0000-0800-0000D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0" name="Text Box 250">
          <a:extLst>
            <a:ext uri="{FF2B5EF4-FFF2-40B4-BE49-F238E27FC236}">
              <a16:creationId xmlns:a16="http://schemas.microsoft.com/office/drawing/2014/main" id="{00000000-0008-0000-0800-0000D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1" name="Text Box 251">
          <a:extLst>
            <a:ext uri="{FF2B5EF4-FFF2-40B4-BE49-F238E27FC236}">
              <a16:creationId xmlns:a16="http://schemas.microsoft.com/office/drawing/2014/main" id="{00000000-0008-0000-0800-0000D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2" name="Text Box 252">
          <a:extLst>
            <a:ext uri="{FF2B5EF4-FFF2-40B4-BE49-F238E27FC236}">
              <a16:creationId xmlns:a16="http://schemas.microsoft.com/office/drawing/2014/main" id="{00000000-0008-0000-0800-0000D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3" name="Text Box 253">
          <a:extLst>
            <a:ext uri="{FF2B5EF4-FFF2-40B4-BE49-F238E27FC236}">
              <a16:creationId xmlns:a16="http://schemas.microsoft.com/office/drawing/2014/main" id="{00000000-0008-0000-0800-0000D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4" name="Text Box 254">
          <a:extLst>
            <a:ext uri="{FF2B5EF4-FFF2-40B4-BE49-F238E27FC236}">
              <a16:creationId xmlns:a16="http://schemas.microsoft.com/office/drawing/2014/main" id="{00000000-0008-0000-0800-0000D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5" name="Text Box 255">
          <a:extLst>
            <a:ext uri="{FF2B5EF4-FFF2-40B4-BE49-F238E27FC236}">
              <a16:creationId xmlns:a16="http://schemas.microsoft.com/office/drawing/2014/main" id="{00000000-0008-0000-0800-0000D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6" name="Text Box 256">
          <a:extLst>
            <a:ext uri="{FF2B5EF4-FFF2-40B4-BE49-F238E27FC236}">
              <a16:creationId xmlns:a16="http://schemas.microsoft.com/office/drawing/2014/main" id="{00000000-0008-0000-0800-0000D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7" name="Text Box 257">
          <a:extLst>
            <a:ext uri="{FF2B5EF4-FFF2-40B4-BE49-F238E27FC236}">
              <a16:creationId xmlns:a16="http://schemas.microsoft.com/office/drawing/2014/main" id="{00000000-0008-0000-0800-0000D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8" name="Text Box 258">
          <a:extLst>
            <a:ext uri="{FF2B5EF4-FFF2-40B4-BE49-F238E27FC236}">
              <a16:creationId xmlns:a16="http://schemas.microsoft.com/office/drawing/2014/main" id="{00000000-0008-0000-0800-0000D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9" name="Text Box 259">
          <a:extLst>
            <a:ext uri="{FF2B5EF4-FFF2-40B4-BE49-F238E27FC236}">
              <a16:creationId xmlns:a16="http://schemas.microsoft.com/office/drawing/2014/main" id="{00000000-0008-0000-0800-0000D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0" name="Text Box 260">
          <a:extLst>
            <a:ext uri="{FF2B5EF4-FFF2-40B4-BE49-F238E27FC236}">
              <a16:creationId xmlns:a16="http://schemas.microsoft.com/office/drawing/2014/main" id="{00000000-0008-0000-0800-0000D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1" name="Text Box 261">
          <a:extLst>
            <a:ext uri="{FF2B5EF4-FFF2-40B4-BE49-F238E27FC236}">
              <a16:creationId xmlns:a16="http://schemas.microsoft.com/office/drawing/2014/main" id="{00000000-0008-0000-0800-0000D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2" name="Text Box 262">
          <a:extLst>
            <a:ext uri="{FF2B5EF4-FFF2-40B4-BE49-F238E27FC236}">
              <a16:creationId xmlns:a16="http://schemas.microsoft.com/office/drawing/2014/main" id="{00000000-0008-0000-0800-0000E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3" name="Text Box 263">
          <a:extLst>
            <a:ext uri="{FF2B5EF4-FFF2-40B4-BE49-F238E27FC236}">
              <a16:creationId xmlns:a16="http://schemas.microsoft.com/office/drawing/2014/main" id="{00000000-0008-0000-0800-0000E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4" name="Text Box 264">
          <a:extLst>
            <a:ext uri="{FF2B5EF4-FFF2-40B4-BE49-F238E27FC236}">
              <a16:creationId xmlns:a16="http://schemas.microsoft.com/office/drawing/2014/main" id="{00000000-0008-0000-0800-0000E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5" name="Text Box 265">
          <a:extLst>
            <a:ext uri="{FF2B5EF4-FFF2-40B4-BE49-F238E27FC236}">
              <a16:creationId xmlns:a16="http://schemas.microsoft.com/office/drawing/2014/main" id="{00000000-0008-0000-0800-0000E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6" name="Text Box 266">
          <a:extLst>
            <a:ext uri="{FF2B5EF4-FFF2-40B4-BE49-F238E27FC236}">
              <a16:creationId xmlns:a16="http://schemas.microsoft.com/office/drawing/2014/main" id="{00000000-0008-0000-0800-0000E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7" name="Text Box 267">
          <a:extLst>
            <a:ext uri="{FF2B5EF4-FFF2-40B4-BE49-F238E27FC236}">
              <a16:creationId xmlns:a16="http://schemas.microsoft.com/office/drawing/2014/main" id="{00000000-0008-0000-0800-0000E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8" name="Text Box 268">
          <a:extLst>
            <a:ext uri="{FF2B5EF4-FFF2-40B4-BE49-F238E27FC236}">
              <a16:creationId xmlns:a16="http://schemas.microsoft.com/office/drawing/2014/main" id="{00000000-0008-0000-0800-0000E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9" name="Text Box 269">
          <a:extLst>
            <a:ext uri="{FF2B5EF4-FFF2-40B4-BE49-F238E27FC236}">
              <a16:creationId xmlns:a16="http://schemas.microsoft.com/office/drawing/2014/main" id="{00000000-0008-0000-0800-0000E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0" name="Text Box 270">
          <a:extLst>
            <a:ext uri="{FF2B5EF4-FFF2-40B4-BE49-F238E27FC236}">
              <a16:creationId xmlns:a16="http://schemas.microsoft.com/office/drawing/2014/main" id="{00000000-0008-0000-0800-0000E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1" name="Text Box 271">
          <a:extLst>
            <a:ext uri="{FF2B5EF4-FFF2-40B4-BE49-F238E27FC236}">
              <a16:creationId xmlns:a16="http://schemas.microsoft.com/office/drawing/2014/main" id="{00000000-0008-0000-0800-0000E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2" name="Text Box 272">
          <a:extLst>
            <a:ext uri="{FF2B5EF4-FFF2-40B4-BE49-F238E27FC236}">
              <a16:creationId xmlns:a16="http://schemas.microsoft.com/office/drawing/2014/main" id="{00000000-0008-0000-0800-0000E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3" name="Text Box 273">
          <a:extLst>
            <a:ext uri="{FF2B5EF4-FFF2-40B4-BE49-F238E27FC236}">
              <a16:creationId xmlns:a16="http://schemas.microsoft.com/office/drawing/2014/main" id="{00000000-0008-0000-0800-0000E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4" name="Text Box 274">
          <a:extLst>
            <a:ext uri="{FF2B5EF4-FFF2-40B4-BE49-F238E27FC236}">
              <a16:creationId xmlns:a16="http://schemas.microsoft.com/office/drawing/2014/main" id="{00000000-0008-0000-0800-0000E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5" name="Text Box 275">
          <a:extLst>
            <a:ext uri="{FF2B5EF4-FFF2-40B4-BE49-F238E27FC236}">
              <a16:creationId xmlns:a16="http://schemas.microsoft.com/office/drawing/2014/main" id="{00000000-0008-0000-0800-0000E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6" name="Text Box 276">
          <a:extLst>
            <a:ext uri="{FF2B5EF4-FFF2-40B4-BE49-F238E27FC236}">
              <a16:creationId xmlns:a16="http://schemas.microsoft.com/office/drawing/2014/main" id="{00000000-0008-0000-0800-0000E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7" name="Text Box 277">
          <a:extLst>
            <a:ext uri="{FF2B5EF4-FFF2-40B4-BE49-F238E27FC236}">
              <a16:creationId xmlns:a16="http://schemas.microsoft.com/office/drawing/2014/main" id="{00000000-0008-0000-0800-0000E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8" name="Text Box 278">
          <a:extLst>
            <a:ext uri="{FF2B5EF4-FFF2-40B4-BE49-F238E27FC236}">
              <a16:creationId xmlns:a16="http://schemas.microsoft.com/office/drawing/2014/main" id="{00000000-0008-0000-0800-0000F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9" name="Text Box 279">
          <a:extLst>
            <a:ext uri="{FF2B5EF4-FFF2-40B4-BE49-F238E27FC236}">
              <a16:creationId xmlns:a16="http://schemas.microsoft.com/office/drawing/2014/main" id="{00000000-0008-0000-0800-0000F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0" name="Text Box 280">
          <a:extLst>
            <a:ext uri="{FF2B5EF4-FFF2-40B4-BE49-F238E27FC236}">
              <a16:creationId xmlns:a16="http://schemas.microsoft.com/office/drawing/2014/main" id="{00000000-0008-0000-0800-0000F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1" name="Text Box 281">
          <a:extLst>
            <a:ext uri="{FF2B5EF4-FFF2-40B4-BE49-F238E27FC236}">
              <a16:creationId xmlns:a16="http://schemas.microsoft.com/office/drawing/2014/main" id="{00000000-0008-0000-0800-0000F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2" name="Text Box 282">
          <a:extLst>
            <a:ext uri="{FF2B5EF4-FFF2-40B4-BE49-F238E27FC236}">
              <a16:creationId xmlns:a16="http://schemas.microsoft.com/office/drawing/2014/main" id="{00000000-0008-0000-0800-0000F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3" name="Text Box 283">
          <a:extLst>
            <a:ext uri="{FF2B5EF4-FFF2-40B4-BE49-F238E27FC236}">
              <a16:creationId xmlns:a16="http://schemas.microsoft.com/office/drawing/2014/main" id="{00000000-0008-0000-0800-0000F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4" name="Text Box 284">
          <a:extLst>
            <a:ext uri="{FF2B5EF4-FFF2-40B4-BE49-F238E27FC236}">
              <a16:creationId xmlns:a16="http://schemas.microsoft.com/office/drawing/2014/main" id="{00000000-0008-0000-0800-0000F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5" name="Text Box 285">
          <a:extLst>
            <a:ext uri="{FF2B5EF4-FFF2-40B4-BE49-F238E27FC236}">
              <a16:creationId xmlns:a16="http://schemas.microsoft.com/office/drawing/2014/main" id="{00000000-0008-0000-0800-0000F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6" name="Text Box 286">
          <a:extLst>
            <a:ext uri="{FF2B5EF4-FFF2-40B4-BE49-F238E27FC236}">
              <a16:creationId xmlns:a16="http://schemas.microsoft.com/office/drawing/2014/main" id="{00000000-0008-0000-0800-0000F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7" name="Text Box 287">
          <a:extLst>
            <a:ext uri="{FF2B5EF4-FFF2-40B4-BE49-F238E27FC236}">
              <a16:creationId xmlns:a16="http://schemas.microsoft.com/office/drawing/2014/main" id="{00000000-0008-0000-0800-0000F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8" name="Text Box 288">
          <a:extLst>
            <a:ext uri="{FF2B5EF4-FFF2-40B4-BE49-F238E27FC236}">
              <a16:creationId xmlns:a16="http://schemas.microsoft.com/office/drawing/2014/main" id="{00000000-0008-0000-0800-0000F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9" name="Text Box 289">
          <a:extLst>
            <a:ext uri="{FF2B5EF4-FFF2-40B4-BE49-F238E27FC236}">
              <a16:creationId xmlns:a16="http://schemas.microsoft.com/office/drawing/2014/main" id="{00000000-0008-0000-0800-0000F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0" name="Text Box 290">
          <a:extLst>
            <a:ext uri="{FF2B5EF4-FFF2-40B4-BE49-F238E27FC236}">
              <a16:creationId xmlns:a16="http://schemas.microsoft.com/office/drawing/2014/main" id="{00000000-0008-0000-0800-0000F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1" name="Text Box 291">
          <a:extLst>
            <a:ext uri="{FF2B5EF4-FFF2-40B4-BE49-F238E27FC236}">
              <a16:creationId xmlns:a16="http://schemas.microsoft.com/office/drawing/2014/main" id="{00000000-0008-0000-0800-0000F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2" name="Text Box 292">
          <a:extLst>
            <a:ext uri="{FF2B5EF4-FFF2-40B4-BE49-F238E27FC236}">
              <a16:creationId xmlns:a16="http://schemas.microsoft.com/office/drawing/2014/main" id="{00000000-0008-0000-0800-0000F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3" name="Text Box 293">
          <a:extLst>
            <a:ext uri="{FF2B5EF4-FFF2-40B4-BE49-F238E27FC236}">
              <a16:creationId xmlns:a16="http://schemas.microsoft.com/office/drawing/2014/main" id="{00000000-0008-0000-0800-0000F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4" name="Text Box 294">
          <a:extLst>
            <a:ext uri="{FF2B5EF4-FFF2-40B4-BE49-F238E27FC236}">
              <a16:creationId xmlns:a16="http://schemas.microsoft.com/office/drawing/2014/main" id="{00000000-0008-0000-0800-00000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5" name="Text Box 295">
          <a:extLst>
            <a:ext uri="{FF2B5EF4-FFF2-40B4-BE49-F238E27FC236}">
              <a16:creationId xmlns:a16="http://schemas.microsoft.com/office/drawing/2014/main" id="{00000000-0008-0000-0800-00000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6" name="Text Box 296">
          <a:extLst>
            <a:ext uri="{FF2B5EF4-FFF2-40B4-BE49-F238E27FC236}">
              <a16:creationId xmlns:a16="http://schemas.microsoft.com/office/drawing/2014/main" id="{00000000-0008-0000-0800-00000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7" name="Text Box 297">
          <a:extLst>
            <a:ext uri="{FF2B5EF4-FFF2-40B4-BE49-F238E27FC236}">
              <a16:creationId xmlns:a16="http://schemas.microsoft.com/office/drawing/2014/main" id="{00000000-0008-0000-0800-00000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8" name="Text Box 298">
          <a:extLst>
            <a:ext uri="{FF2B5EF4-FFF2-40B4-BE49-F238E27FC236}">
              <a16:creationId xmlns:a16="http://schemas.microsoft.com/office/drawing/2014/main" id="{00000000-0008-0000-0800-00000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9" name="Text Box 299">
          <a:extLst>
            <a:ext uri="{FF2B5EF4-FFF2-40B4-BE49-F238E27FC236}">
              <a16:creationId xmlns:a16="http://schemas.microsoft.com/office/drawing/2014/main" id="{00000000-0008-0000-0800-00000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0" name="Text Box 300">
          <a:extLst>
            <a:ext uri="{FF2B5EF4-FFF2-40B4-BE49-F238E27FC236}">
              <a16:creationId xmlns:a16="http://schemas.microsoft.com/office/drawing/2014/main" id="{00000000-0008-0000-0800-00000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1" name="Text Box 301">
          <a:extLst>
            <a:ext uri="{FF2B5EF4-FFF2-40B4-BE49-F238E27FC236}">
              <a16:creationId xmlns:a16="http://schemas.microsoft.com/office/drawing/2014/main" id="{00000000-0008-0000-0800-00000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2" name="Text Box 302">
          <a:extLst>
            <a:ext uri="{FF2B5EF4-FFF2-40B4-BE49-F238E27FC236}">
              <a16:creationId xmlns:a16="http://schemas.microsoft.com/office/drawing/2014/main" id="{00000000-0008-0000-0800-00000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3" name="Text Box 303">
          <a:extLst>
            <a:ext uri="{FF2B5EF4-FFF2-40B4-BE49-F238E27FC236}">
              <a16:creationId xmlns:a16="http://schemas.microsoft.com/office/drawing/2014/main" id="{00000000-0008-0000-0800-00000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4" name="Text Box 304">
          <a:extLst>
            <a:ext uri="{FF2B5EF4-FFF2-40B4-BE49-F238E27FC236}">
              <a16:creationId xmlns:a16="http://schemas.microsoft.com/office/drawing/2014/main" id="{00000000-0008-0000-0800-00000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5" name="Text Box 305">
          <a:extLst>
            <a:ext uri="{FF2B5EF4-FFF2-40B4-BE49-F238E27FC236}">
              <a16:creationId xmlns:a16="http://schemas.microsoft.com/office/drawing/2014/main" id="{00000000-0008-0000-0800-00000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6" name="Text Box 306">
          <a:extLst>
            <a:ext uri="{FF2B5EF4-FFF2-40B4-BE49-F238E27FC236}">
              <a16:creationId xmlns:a16="http://schemas.microsoft.com/office/drawing/2014/main" id="{00000000-0008-0000-0800-00000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7" name="Text Box 307">
          <a:extLst>
            <a:ext uri="{FF2B5EF4-FFF2-40B4-BE49-F238E27FC236}">
              <a16:creationId xmlns:a16="http://schemas.microsoft.com/office/drawing/2014/main" id="{00000000-0008-0000-0800-00000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8" name="Text Box 308">
          <a:extLst>
            <a:ext uri="{FF2B5EF4-FFF2-40B4-BE49-F238E27FC236}">
              <a16:creationId xmlns:a16="http://schemas.microsoft.com/office/drawing/2014/main" id="{00000000-0008-0000-0800-00000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9" name="Text Box 309">
          <a:extLst>
            <a:ext uri="{FF2B5EF4-FFF2-40B4-BE49-F238E27FC236}">
              <a16:creationId xmlns:a16="http://schemas.microsoft.com/office/drawing/2014/main" id="{00000000-0008-0000-0800-00000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0" name="Text Box 310">
          <a:extLst>
            <a:ext uri="{FF2B5EF4-FFF2-40B4-BE49-F238E27FC236}">
              <a16:creationId xmlns:a16="http://schemas.microsoft.com/office/drawing/2014/main" id="{00000000-0008-0000-0800-00001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1" name="Text Box 311">
          <a:extLst>
            <a:ext uri="{FF2B5EF4-FFF2-40B4-BE49-F238E27FC236}">
              <a16:creationId xmlns:a16="http://schemas.microsoft.com/office/drawing/2014/main" id="{00000000-0008-0000-0800-00001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2" name="Text Box 312">
          <a:extLst>
            <a:ext uri="{FF2B5EF4-FFF2-40B4-BE49-F238E27FC236}">
              <a16:creationId xmlns:a16="http://schemas.microsoft.com/office/drawing/2014/main" id="{00000000-0008-0000-0800-00001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3" name="Text Box 313">
          <a:extLst>
            <a:ext uri="{FF2B5EF4-FFF2-40B4-BE49-F238E27FC236}">
              <a16:creationId xmlns:a16="http://schemas.microsoft.com/office/drawing/2014/main" id="{00000000-0008-0000-0800-00001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4" name="Text Box 314">
          <a:extLst>
            <a:ext uri="{FF2B5EF4-FFF2-40B4-BE49-F238E27FC236}">
              <a16:creationId xmlns:a16="http://schemas.microsoft.com/office/drawing/2014/main" id="{00000000-0008-0000-0800-00001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5" name="Text Box 315">
          <a:extLst>
            <a:ext uri="{FF2B5EF4-FFF2-40B4-BE49-F238E27FC236}">
              <a16:creationId xmlns:a16="http://schemas.microsoft.com/office/drawing/2014/main" id="{00000000-0008-0000-0800-00001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6" name="Text Box 316">
          <a:extLst>
            <a:ext uri="{FF2B5EF4-FFF2-40B4-BE49-F238E27FC236}">
              <a16:creationId xmlns:a16="http://schemas.microsoft.com/office/drawing/2014/main" id="{00000000-0008-0000-0800-00001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7" name="Text Box 317">
          <a:extLst>
            <a:ext uri="{FF2B5EF4-FFF2-40B4-BE49-F238E27FC236}">
              <a16:creationId xmlns:a16="http://schemas.microsoft.com/office/drawing/2014/main" id="{00000000-0008-0000-0800-00001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8" name="Text Box 318">
          <a:extLst>
            <a:ext uri="{FF2B5EF4-FFF2-40B4-BE49-F238E27FC236}">
              <a16:creationId xmlns:a16="http://schemas.microsoft.com/office/drawing/2014/main" id="{00000000-0008-0000-0800-00001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9" name="Text Box 319">
          <a:extLst>
            <a:ext uri="{FF2B5EF4-FFF2-40B4-BE49-F238E27FC236}">
              <a16:creationId xmlns:a16="http://schemas.microsoft.com/office/drawing/2014/main" id="{00000000-0008-0000-0800-00001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30" name="Text Box 320">
          <a:extLst>
            <a:ext uri="{FF2B5EF4-FFF2-40B4-BE49-F238E27FC236}">
              <a16:creationId xmlns:a16="http://schemas.microsoft.com/office/drawing/2014/main" id="{00000000-0008-0000-0800-00001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1" name="Text Box 28">
          <a:extLst>
            <a:ext uri="{FF2B5EF4-FFF2-40B4-BE49-F238E27FC236}">
              <a16:creationId xmlns:a16="http://schemas.microsoft.com/office/drawing/2014/main" id="{00000000-0008-0000-0800-00001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2" name="Text Box 29">
          <a:extLst>
            <a:ext uri="{FF2B5EF4-FFF2-40B4-BE49-F238E27FC236}">
              <a16:creationId xmlns:a16="http://schemas.microsoft.com/office/drawing/2014/main" id="{00000000-0008-0000-0800-00001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3" name="Text Box 30">
          <a:extLst>
            <a:ext uri="{FF2B5EF4-FFF2-40B4-BE49-F238E27FC236}">
              <a16:creationId xmlns:a16="http://schemas.microsoft.com/office/drawing/2014/main" id="{00000000-0008-0000-0800-00001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4" name="Text Box 31">
          <a:extLst>
            <a:ext uri="{FF2B5EF4-FFF2-40B4-BE49-F238E27FC236}">
              <a16:creationId xmlns:a16="http://schemas.microsoft.com/office/drawing/2014/main" id="{00000000-0008-0000-0800-00001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5" name="Text Box 32">
          <a:extLst>
            <a:ext uri="{FF2B5EF4-FFF2-40B4-BE49-F238E27FC236}">
              <a16:creationId xmlns:a16="http://schemas.microsoft.com/office/drawing/2014/main" id="{00000000-0008-0000-0800-00001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6" name="Text Box 33">
          <a:extLst>
            <a:ext uri="{FF2B5EF4-FFF2-40B4-BE49-F238E27FC236}">
              <a16:creationId xmlns:a16="http://schemas.microsoft.com/office/drawing/2014/main" id="{00000000-0008-0000-0800-00002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7" name="Text Box 34">
          <a:extLst>
            <a:ext uri="{FF2B5EF4-FFF2-40B4-BE49-F238E27FC236}">
              <a16:creationId xmlns:a16="http://schemas.microsoft.com/office/drawing/2014/main" id="{00000000-0008-0000-0800-00002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8" name="Text Box 35">
          <a:extLst>
            <a:ext uri="{FF2B5EF4-FFF2-40B4-BE49-F238E27FC236}">
              <a16:creationId xmlns:a16="http://schemas.microsoft.com/office/drawing/2014/main" id="{00000000-0008-0000-0800-00002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9" name="Text Box 36">
          <a:extLst>
            <a:ext uri="{FF2B5EF4-FFF2-40B4-BE49-F238E27FC236}">
              <a16:creationId xmlns:a16="http://schemas.microsoft.com/office/drawing/2014/main" id="{00000000-0008-0000-0800-00002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0" name="Text Box 37">
          <a:extLst>
            <a:ext uri="{FF2B5EF4-FFF2-40B4-BE49-F238E27FC236}">
              <a16:creationId xmlns:a16="http://schemas.microsoft.com/office/drawing/2014/main" id="{00000000-0008-0000-0800-00002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1" name="Text Box 38">
          <a:extLst>
            <a:ext uri="{FF2B5EF4-FFF2-40B4-BE49-F238E27FC236}">
              <a16:creationId xmlns:a16="http://schemas.microsoft.com/office/drawing/2014/main" id="{00000000-0008-0000-0800-00002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2" name="Text Box 39">
          <a:extLst>
            <a:ext uri="{FF2B5EF4-FFF2-40B4-BE49-F238E27FC236}">
              <a16:creationId xmlns:a16="http://schemas.microsoft.com/office/drawing/2014/main" id="{00000000-0008-0000-0800-00002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3" name="Text Box 40">
          <a:extLst>
            <a:ext uri="{FF2B5EF4-FFF2-40B4-BE49-F238E27FC236}">
              <a16:creationId xmlns:a16="http://schemas.microsoft.com/office/drawing/2014/main" id="{00000000-0008-0000-0800-00002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4" name="Text Box 41">
          <a:extLst>
            <a:ext uri="{FF2B5EF4-FFF2-40B4-BE49-F238E27FC236}">
              <a16:creationId xmlns:a16="http://schemas.microsoft.com/office/drawing/2014/main" id="{00000000-0008-0000-0800-00002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5" name="Text Box 42">
          <a:extLst>
            <a:ext uri="{FF2B5EF4-FFF2-40B4-BE49-F238E27FC236}">
              <a16:creationId xmlns:a16="http://schemas.microsoft.com/office/drawing/2014/main" id="{00000000-0008-0000-0800-00002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6" name="Text Box 43">
          <a:extLst>
            <a:ext uri="{FF2B5EF4-FFF2-40B4-BE49-F238E27FC236}">
              <a16:creationId xmlns:a16="http://schemas.microsoft.com/office/drawing/2014/main" id="{00000000-0008-0000-0800-00002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7" name="Text Box 44">
          <a:extLst>
            <a:ext uri="{FF2B5EF4-FFF2-40B4-BE49-F238E27FC236}">
              <a16:creationId xmlns:a16="http://schemas.microsoft.com/office/drawing/2014/main" id="{00000000-0008-0000-0800-00002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8" name="Text Box 45">
          <a:extLst>
            <a:ext uri="{FF2B5EF4-FFF2-40B4-BE49-F238E27FC236}">
              <a16:creationId xmlns:a16="http://schemas.microsoft.com/office/drawing/2014/main" id="{00000000-0008-0000-0800-00002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9" name="Text Box 46">
          <a:extLst>
            <a:ext uri="{FF2B5EF4-FFF2-40B4-BE49-F238E27FC236}">
              <a16:creationId xmlns:a16="http://schemas.microsoft.com/office/drawing/2014/main" id="{00000000-0008-0000-0800-00002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0" name="Text Box 47">
          <a:extLst>
            <a:ext uri="{FF2B5EF4-FFF2-40B4-BE49-F238E27FC236}">
              <a16:creationId xmlns:a16="http://schemas.microsoft.com/office/drawing/2014/main" id="{00000000-0008-0000-0800-00002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1" name="Text Box 48">
          <a:extLst>
            <a:ext uri="{FF2B5EF4-FFF2-40B4-BE49-F238E27FC236}">
              <a16:creationId xmlns:a16="http://schemas.microsoft.com/office/drawing/2014/main" id="{00000000-0008-0000-0800-00002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2" name="Text Box 49">
          <a:extLst>
            <a:ext uri="{FF2B5EF4-FFF2-40B4-BE49-F238E27FC236}">
              <a16:creationId xmlns:a16="http://schemas.microsoft.com/office/drawing/2014/main" id="{00000000-0008-0000-0800-00003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3" name="Text Box 50">
          <a:extLst>
            <a:ext uri="{FF2B5EF4-FFF2-40B4-BE49-F238E27FC236}">
              <a16:creationId xmlns:a16="http://schemas.microsoft.com/office/drawing/2014/main" id="{00000000-0008-0000-0800-00003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4" name="Text Box 51">
          <a:extLst>
            <a:ext uri="{FF2B5EF4-FFF2-40B4-BE49-F238E27FC236}">
              <a16:creationId xmlns:a16="http://schemas.microsoft.com/office/drawing/2014/main" id="{00000000-0008-0000-0800-00003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5" name="Text Box 52">
          <a:extLst>
            <a:ext uri="{FF2B5EF4-FFF2-40B4-BE49-F238E27FC236}">
              <a16:creationId xmlns:a16="http://schemas.microsoft.com/office/drawing/2014/main" id="{00000000-0008-0000-0800-00003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6" name="Text Box 53">
          <a:extLst>
            <a:ext uri="{FF2B5EF4-FFF2-40B4-BE49-F238E27FC236}">
              <a16:creationId xmlns:a16="http://schemas.microsoft.com/office/drawing/2014/main" id="{00000000-0008-0000-0800-00003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7" name="Text Box 54">
          <a:extLst>
            <a:ext uri="{FF2B5EF4-FFF2-40B4-BE49-F238E27FC236}">
              <a16:creationId xmlns:a16="http://schemas.microsoft.com/office/drawing/2014/main" id="{00000000-0008-0000-0800-00003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8" name="Text Box 55">
          <a:extLst>
            <a:ext uri="{FF2B5EF4-FFF2-40B4-BE49-F238E27FC236}">
              <a16:creationId xmlns:a16="http://schemas.microsoft.com/office/drawing/2014/main" id="{00000000-0008-0000-0800-00003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9" name="Text Box 56">
          <a:extLst>
            <a:ext uri="{FF2B5EF4-FFF2-40B4-BE49-F238E27FC236}">
              <a16:creationId xmlns:a16="http://schemas.microsoft.com/office/drawing/2014/main" id="{00000000-0008-0000-0800-00003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0" name="Text Box 57">
          <a:extLst>
            <a:ext uri="{FF2B5EF4-FFF2-40B4-BE49-F238E27FC236}">
              <a16:creationId xmlns:a16="http://schemas.microsoft.com/office/drawing/2014/main" id="{00000000-0008-0000-0800-00003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1" name="Text Box 58">
          <a:extLst>
            <a:ext uri="{FF2B5EF4-FFF2-40B4-BE49-F238E27FC236}">
              <a16:creationId xmlns:a16="http://schemas.microsoft.com/office/drawing/2014/main" id="{00000000-0008-0000-0800-00003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2" name="Text Box 59">
          <a:extLst>
            <a:ext uri="{FF2B5EF4-FFF2-40B4-BE49-F238E27FC236}">
              <a16:creationId xmlns:a16="http://schemas.microsoft.com/office/drawing/2014/main" id="{00000000-0008-0000-0800-00003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3" name="Text Box 60">
          <a:extLst>
            <a:ext uri="{FF2B5EF4-FFF2-40B4-BE49-F238E27FC236}">
              <a16:creationId xmlns:a16="http://schemas.microsoft.com/office/drawing/2014/main" id="{00000000-0008-0000-0800-00003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4" name="Text Box 61">
          <a:extLst>
            <a:ext uri="{FF2B5EF4-FFF2-40B4-BE49-F238E27FC236}">
              <a16:creationId xmlns:a16="http://schemas.microsoft.com/office/drawing/2014/main" id="{00000000-0008-0000-0800-00003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5" name="Text Box 62">
          <a:extLst>
            <a:ext uri="{FF2B5EF4-FFF2-40B4-BE49-F238E27FC236}">
              <a16:creationId xmlns:a16="http://schemas.microsoft.com/office/drawing/2014/main" id="{00000000-0008-0000-0800-00003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6" name="Text Box 63">
          <a:extLst>
            <a:ext uri="{FF2B5EF4-FFF2-40B4-BE49-F238E27FC236}">
              <a16:creationId xmlns:a16="http://schemas.microsoft.com/office/drawing/2014/main" id="{00000000-0008-0000-0800-00003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7" name="Text Box 64">
          <a:extLst>
            <a:ext uri="{FF2B5EF4-FFF2-40B4-BE49-F238E27FC236}">
              <a16:creationId xmlns:a16="http://schemas.microsoft.com/office/drawing/2014/main" id="{00000000-0008-0000-0800-00003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8" name="Text Box 65">
          <a:extLst>
            <a:ext uri="{FF2B5EF4-FFF2-40B4-BE49-F238E27FC236}">
              <a16:creationId xmlns:a16="http://schemas.microsoft.com/office/drawing/2014/main" id="{00000000-0008-0000-0800-00004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9" name="Text Box 66">
          <a:extLst>
            <a:ext uri="{FF2B5EF4-FFF2-40B4-BE49-F238E27FC236}">
              <a16:creationId xmlns:a16="http://schemas.microsoft.com/office/drawing/2014/main" id="{00000000-0008-0000-0800-00004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0" name="Text Box 67">
          <a:extLst>
            <a:ext uri="{FF2B5EF4-FFF2-40B4-BE49-F238E27FC236}">
              <a16:creationId xmlns:a16="http://schemas.microsoft.com/office/drawing/2014/main" id="{00000000-0008-0000-0800-00004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1" name="Text Box 68">
          <a:extLst>
            <a:ext uri="{FF2B5EF4-FFF2-40B4-BE49-F238E27FC236}">
              <a16:creationId xmlns:a16="http://schemas.microsoft.com/office/drawing/2014/main" id="{00000000-0008-0000-0800-00004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2" name="Text Box 69">
          <a:extLst>
            <a:ext uri="{FF2B5EF4-FFF2-40B4-BE49-F238E27FC236}">
              <a16:creationId xmlns:a16="http://schemas.microsoft.com/office/drawing/2014/main" id="{00000000-0008-0000-0800-00004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3" name="Text Box 70">
          <a:extLst>
            <a:ext uri="{FF2B5EF4-FFF2-40B4-BE49-F238E27FC236}">
              <a16:creationId xmlns:a16="http://schemas.microsoft.com/office/drawing/2014/main" id="{00000000-0008-0000-0800-00004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4" name="Text Box 71">
          <a:extLst>
            <a:ext uri="{FF2B5EF4-FFF2-40B4-BE49-F238E27FC236}">
              <a16:creationId xmlns:a16="http://schemas.microsoft.com/office/drawing/2014/main" id="{00000000-0008-0000-0800-00004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5" name="Text Box 72">
          <a:extLst>
            <a:ext uri="{FF2B5EF4-FFF2-40B4-BE49-F238E27FC236}">
              <a16:creationId xmlns:a16="http://schemas.microsoft.com/office/drawing/2014/main" id="{00000000-0008-0000-0800-00004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6" name="Text Box 73">
          <a:extLst>
            <a:ext uri="{FF2B5EF4-FFF2-40B4-BE49-F238E27FC236}">
              <a16:creationId xmlns:a16="http://schemas.microsoft.com/office/drawing/2014/main" id="{00000000-0008-0000-0800-00004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7" name="Text Box 74">
          <a:extLst>
            <a:ext uri="{FF2B5EF4-FFF2-40B4-BE49-F238E27FC236}">
              <a16:creationId xmlns:a16="http://schemas.microsoft.com/office/drawing/2014/main" id="{00000000-0008-0000-0800-00004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8" name="Text Box 75">
          <a:extLst>
            <a:ext uri="{FF2B5EF4-FFF2-40B4-BE49-F238E27FC236}">
              <a16:creationId xmlns:a16="http://schemas.microsoft.com/office/drawing/2014/main" id="{00000000-0008-0000-0800-00004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9" name="Text Box 76">
          <a:extLst>
            <a:ext uri="{FF2B5EF4-FFF2-40B4-BE49-F238E27FC236}">
              <a16:creationId xmlns:a16="http://schemas.microsoft.com/office/drawing/2014/main" id="{00000000-0008-0000-0800-00004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0" name="Text Box 77">
          <a:extLst>
            <a:ext uri="{FF2B5EF4-FFF2-40B4-BE49-F238E27FC236}">
              <a16:creationId xmlns:a16="http://schemas.microsoft.com/office/drawing/2014/main" id="{00000000-0008-0000-0800-00004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1" name="Text Box 78">
          <a:extLst>
            <a:ext uri="{FF2B5EF4-FFF2-40B4-BE49-F238E27FC236}">
              <a16:creationId xmlns:a16="http://schemas.microsoft.com/office/drawing/2014/main" id="{00000000-0008-0000-0800-00004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2" name="Text Box 79">
          <a:extLst>
            <a:ext uri="{FF2B5EF4-FFF2-40B4-BE49-F238E27FC236}">
              <a16:creationId xmlns:a16="http://schemas.microsoft.com/office/drawing/2014/main" id="{00000000-0008-0000-0800-00004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3" name="Text Box 80">
          <a:extLst>
            <a:ext uri="{FF2B5EF4-FFF2-40B4-BE49-F238E27FC236}">
              <a16:creationId xmlns:a16="http://schemas.microsoft.com/office/drawing/2014/main" id="{00000000-0008-0000-0800-00004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4" name="Text Box 81">
          <a:extLst>
            <a:ext uri="{FF2B5EF4-FFF2-40B4-BE49-F238E27FC236}">
              <a16:creationId xmlns:a16="http://schemas.microsoft.com/office/drawing/2014/main" id="{00000000-0008-0000-0800-00005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5" name="Text Box 82">
          <a:extLst>
            <a:ext uri="{FF2B5EF4-FFF2-40B4-BE49-F238E27FC236}">
              <a16:creationId xmlns:a16="http://schemas.microsoft.com/office/drawing/2014/main" id="{00000000-0008-0000-0800-00005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6" name="Text Box 83">
          <a:extLst>
            <a:ext uri="{FF2B5EF4-FFF2-40B4-BE49-F238E27FC236}">
              <a16:creationId xmlns:a16="http://schemas.microsoft.com/office/drawing/2014/main" id="{00000000-0008-0000-0800-00005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7" name="Text Box 84">
          <a:extLst>
            <a:ext uri="{FF2B5EF4-FFF2-40B4-BE49-F238E27FC236}">
              <a16:creationId xmlns:a16="http://schemas.microsoft.com/office/drawing/2014/main" id="{00000000-0008-0000-0800-00005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8" name="Text Box 85">
          <a:extLst>
            <a:ext uri="{FF2B5EF4-FFF2-40B4-BE49-F238E27FC236}">
              <a16:creationId xmlns:a16="http://schemas.microsoft.com/office/drawing/2014/main" id="{00000000-0008-0000-0800-00005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9" name="Text Box 86">
          <a:extLst>
            <a:ext uri="{FF2B5EF4-FFF2-40B4-BE49-F238E27FC236}">
              <a16:creationId xmlns:a16="http://schemas.microsoft.com/office/drawing/2014/main" id="{00000000-0008-0000-0800-00005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0" name="Text Box 87">
          <a:extLst>
            <a:ext uri="{FF2B5EF4-FFF2-40B4-BE49-F238E27FC236}">
              <a16:creationId xmlns:a16="http://schemas.microsoft.com/office/drawing/2014/main" id="{00000000-0008-0000-0800-00005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1" name="Text Box 88">
          <a:extLst>
            <a:ext uri="{FF2B5EF4-FFF2-40B4-BE49-F238E27FC236}">
              <a16:creationId xmlns:a16="http://schemas.microsoft.com/office/drawing/2014/main" id="{00000000-0008-0000-0800-00005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2" name="Text Box 89">
          <a:extLst>
            <a:ext uri="{FF2B5EF4-FFF2-40B4-BE49-F238E27FC236}">
              <a16:creationId xmlns:a16="http://schemas.microsoft.com/office/drawing/2014/main" id="{00000000-0008-0000-0800-00005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3" name="Text Box 90">
          <a:extLst>
            <a:ext uri="{FF2B5EF4-FFF2-40B4-BE49-F238E27FC236}">
              <a16:creationId xmlns:a16="http://schemas.microsoft.com/office/drawing/2014/main" id="{00000000-0008-0000-0800-00005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4" name="Text Box 91">
          <a:extLst>
            <a:ext uri="{FF2B5EF4-FFF2-40B4-BE49-F238E27FC236}">
              <a16:creationId xmlns:a16="http://schemas.microsoft.com/office/drawing/2014/main" id="{00000000-0008-0000-0800-00005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5" name="Text Box 92">
          <a:extLst>
            <a:ext uri="{FF2B5EF4-FFF2-40B4-BE49-F238E27FC236}">
              <a16:creationId xmlns:a16="http://schemas.microsoft.com/office/drawing/2014/main" id="{00000000-0008-0000-0800-00005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6" name="Text Box 93">
          <a:extLst>
            <a:ext uri="{FF2B5EF4-FFF2-40B4-BE49-F238E27FC236}">
              <a16:creationId xmlns:a16="http://schemas.microsoft.com/office/drawing/2014/main" id="{00000000-0008-0000-0800-00005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7" name="Text Box 94">
          <a:extLst>
            <a:ext uri="{FF2B5EF4-FFF2-40B4-BE49-F238E27FC236}">
              <a16:creationId xmlns:a16="http://schemas.microsoft.com/office/drawing/2014/main" id="{00000000-0008-0000-0800-00005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8" name="Text Box 95">
          <a:extLst>
            <a:ext uri="{FF2B5EF4-FFF2-40B4-BE49-F238E27FC236}">
              <a16:creationId xmlns:a16="http://schemas.microsoft.com/office/drawing/2014/main" id="{00000000-0008-0000-0800-00005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9" name="Text Box 96">
          <a:extLst>
            <a:ext uri="{FF2B5EF4-FFF2-40B4-BE49-F238E27FC236}">
              <a16:creationId xmlns:a16="http://schemas.microsoft.com/office/drawing/2014/main" id="{00000000-0008-0000-0800-00005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00" name="Text Box 97">
          <a:extLst>
            <a:ext uri="{FF2B5EF4-FFF2-40B4-BE49-F238E27FC236}">
              <a16:creationId xmlns:a16="http://schemas.microsoft.com/office/drawing/2014/main" id="{00000000-0008-0000-0800-00006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1" name="Text Box 100">
          <a:extLst>
            <a:ext uri="{FF2B5EF4-FFF2-40B4-BE49-F238E27FC236}">
              <a16:creationId xmlns:a16="http://schemas.microsoft.com/office/drawing/2014/main" id="{00000000-0008-0000-0800-00006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2" name="Text Box 101">
          <a:extLst>
            <a:ext uri="{FF2B5EF4-FFF2-40B4-BE49-F238E27FC236}">
              <a16:creationId xmlns:a16="http://schemas.microsoft.com/office/drawing/2014/main" id="{00000000-0008-0000-0800-00006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3" name="Text Box 102">
          <a:extLst>
            <a:ext uri="{FF2B5EF4-FFF2-40B4-BE49-F238E27FC236}">
              <a16:creationId xmlns:a16="http://schemas.microsoft.com/office/drawing/2014/main" id="{00000000-0008-0000-0800-00006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4" name="Text Box 103">
          <a:extLst>
            <a:ext uri="{FF2B5EF4-FFF2-40B4-BE49-F238E27FC236}">
              <a16:creationId xmlns:a16="http://schemas.microsoft.com/office/drawing/2014/main" id="{00000000-0008-0000-0800-00006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5" name="Text Box 104">
          <a:extLst>
            <a:ext uri="{FF2B5EF4-FFF2-40B4-BE49-F238E27FC236}">
              <a16:creationId xmlns:a16="http://schemas.microsoft.com/office/drawing/2014/main" id="{00000000-0008-0000-0800-00006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6" name="Text Box 105">
          <a:extLst>
            <a:ext uri="{FF2B5EF4-FFF2-40B4-BE49-F238E27FC236}">
              <a16:creationId xmlns:a16="http://schemas.microsoft.com/office/drawing/2014/main" id="{00000000-0008-0000-0800-00006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7" name="Text Box 106">
          <a:extLst>
            <a:ext uri="{FF2B5EF4-FFF2-40B4-BE49-F238E27FC236}">
              <a16:creationId xmlns:a16="http://schemas.microsoft.com/office/drawing/2014/main" id="{00000000-0008-0000-0800-00006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8" name="Text Box 107">
          <a:extLst>
            <a:ext uri="{FF2B5EF4-FFF2-40B4-BE49-F238E27FC236}">
              <a16:creationId xmlns:a16="http://schemas.microsoft.com/office/drawing/2014/main" id="{00000000-0008-0000-0800-00006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9" name="Text Box 108">
          <a:extLst>
            <a:ext uri="{FF2B5EF4-FFF2-40B4-BE49-F238E27FC236}">
              <a16:creationId xmlns:a16="http://schemas.microsoft.com/office/drawing/2014/main" id="{00000000-0008-0000-0800-00006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0" name="Text Box 109">
          <a:extLst>
            <a:ext uri="{FF2B5EF4-FFF2-40B4-BE49-F238E27FC236}">
              <a16:creationId xmlns:a16="http://schemas.microsoft.com/office/drawing/2014/main" id="{00000000-0008-0000-0800-00006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1" name="Text Box 110">
          <a:extLst>
            <a:ext uri="{FF2B5EF4-FFF2-40B4-BE49-F238E27FC236}">
              <a16:creationId xmlns:a16="http://schemas.microsoft.com/office/drawing/2014/main" id="{00000000-0008-0000-0800-00006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2" name="Text Box 111">
          <a:extLst>
            <a:ext uri="{FF2B5EF4-FFF2-40B4-BE49-F238E27FC236}">
              <a16:creationId xmlns:a16="http://schemas.microsoft.com/office/drawing/2014/main" id="{00000000-0008-0000-0800-00006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3" name="Text Box 119">
          <a:extLst>
            <a:ext uri="{FF2B5EF4-FFF2-40B4-BE49-F238E27FC236}">
              <a16:creationId xmlns:a16="http://schemas.microsoft.com/office/drawing/2014/main" id="{00000000-0008-0000-0800-00006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4" name="Text Box 120">
          <a:extLst>
            <a:ext uri="{FF2B5EF4-FFF2-40B4-BE49-F238E27FC236}">
              <a16:creationId xmlns:a16="http://schemas.microsoft.com/office/drawing/2014/main" id="{00000000-0008-0000-0800-00006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5" name="Text Box 121">
          <a:extLst>
            <a:ext uri="{FF2B5EF4-FFF2-40B4-BE49-F238E27FC236}">
              <a16:creationId xmlns:a16="http://schemas.microsoft.com/office/drawing/2014/main" id="{00000000-0008-0000-0800-00006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6" name="Text Box 122">
          <a:extLst>
            <a:ext uri="{FF2B5EF4-FFF2-40B4-BE49-F238E27FC236}">
              <a16:creationId xmlns:a16="http://schemas.microsoft.com/office/drawing/2014/main" id="{00000000-0008-0000-0800-00007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7" name="Text Box 123">
          <a:extLst>
            <a:ext uri="{FF2B5EF4-FFF2-40B4-BE49-F238E27FC236}">
              <a16:creationId xmlns:a16="http://schemas.microsoft.com/office/drawing/2014/main" id="{00000000-0008-0000-0800-00007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8" name="Text Box 124">
          <a:extLst>
            <a:ext uri="{FF2B5EF4-FFF2-40B4-BE49-F238E27FC236}">
              <a16:creationId xmlns:a16="http://schemas.microsoft.com/office/drawing/2014/main" id="{00000000-0008-0000-0800-00007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9" name="Text Box 125">
          <a:extLst>
            <a:ext uri="{FF2B5EF4-FFF2-40B4-BE49-F238E27FC236}">
              <a16:creationId xmlns:a16="http://schemas.microsoft.com/office/drawing/2014/main" id="{00000000-0008-0000-0800-00007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0" name="Text Box 126">
          <a:extLst>
            <a:ext uri="{FF2B5EF4-FFF2-40B4-BE49-F238E27FC236}">
              <a16:creationId xmlns:a16="http://schemas.microsoft.com/office/drawing/2014/main" id="{00000000-0008-0000-0800-00007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1" name="Text Box 127">
          <a:extLst>
            <a:ext uri="{FF2B5EF4-FFF2-40B4-BE49-F238E27FC236}">
              <a16:creationId xmlns:a16="http://schemas.microsoft.com/office/drawing/2014/main" id="{00000000-0008-0000-0800-00007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2" name="Text Box 128">
          <a:extLst>
            <a:ext uri="{FF2B5EF4-FFF2-40B4-BE49-F238E27FC236}">
              <a16:creationId xmlns:a16="http://schemas.microsoft.com/office/drawing/2014/main" id="{00000000-0008-0000-0800-00007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3" name="Text Box 129">
          <a:extLst>
            <a:ext uri="{FF2B5EF4-FFF2-40B4-BE49-F238E27FC236}">
              <a16:creationId xmlns:a16="http://schemas.microsoft.com/office/drawing/2014/main" id="{00000000-0008-0000-0800-00007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4" name="Text Box 130">
          <a:extLst>
            <a:ext uri="{FF2B5EF4-FFF2-40B4-BE49-F238E27FC236}">
              <a16:creationId xmlns:a16="http://schemas.microsoft.com/office/drawing/2014/main" id="{00000000-0008-0000-0800-00007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5" name="Text Box 133">
          <a:extLst>
            <a:ext uri="{FF2B5EF4-FFF2-40B4-BE49-F238E27FC236}">
              <a16:creationId xmlns:a16="http://schemas.microsoft.com/office/drawing/2014/main" id="{00000000-0008-0000-0800-00007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6" name="Text Box 134">
          <a:extLst>
            <a:ext uri="{FF2B5EF4-FFF2-40B4-BE49-F238E27FC236}">
              <a16:creationId xmlns:a16="http://schemas.microsoft.com/office/drawing/2014/main" id="{00000000-0008-0000-0800-00007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7" name="Text Box 135">
          <a:extLst>
            <a:ext uri="{FF2B5EF4-FFF2-40B4-BE49-F238E27FC236}">
              <a16:creationId xmlns:a16="http://schemas.microsoft.com/office/drawing/2014/main" id="{00000000-0008-0000-0800-00007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8" name="Text Box 136">
          <a:extLst>
            <a:ext uri="{FF2B5EF4-FFF2-40B4-BE49-F238E27FC236}">
              <a16:creationId xmlns:a16="http://schemas.microsoft.com/office/drawing/2014/main" id="{00000000-0008-0000-0800-00007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9" name="Text Box 137">
          <a:extLst>
            <a:ext uri="{FF2B5EF4-FFF2-40B4-BE49-F238E27FC236}">
              <a16:creationId xmlns:a16="http://schemas.microsoft.com/office/drawing/2014/main" id="{00000000-0008-0000-0800-00007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0" name="Text Box 138">
          <a:extLst>
            <a:ext uri="{FF2B5EF4-FFF2-40B4-BE49-F238E27FC236}">
              <a16:creationId xmlns:a16="http://schemas.microsoft.com/office/drawing/2014/main" id="{00000000-0008-0000-0800-00007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1" name="Text Box 139">
          <a:extLst>
            <a:ext uri="{FF2B5EF4-FFF2-40B4-BE49-F238E27FC236}">
              <a16:creationId xmlns:a16="http://schemas.microsoft.com/office/drawing/2014/main" id="{00000000-0008-0000-0800-00007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2" name="Text Box 140">
          <a:extLst>
            <a:ext uri="{FF2B5EF4-FFF2-40B4-BE49-F238E27FC236}">
              <a16:creationId xmlns:a16="http://schemas.microsoft.com/office/drawing/2014/main" id="{00000000-0008-0000-0800-00008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3" name="Text Box 141">
          <a:extLst>
            <a:ext uri="{FF2B5EF4-FFF2-40B4-BE49-F238E27FC236}">
              <a16:creationId xmlns:a16="http://schemas.microsoft.com/office/drawing/2014/main" id="{00000000-0008-0000-0800-00008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4" name="Text Box 142">
          <a:extLst>
            <a:ext uri="{FF2B5EF4-FFF2-40B4-BE49-F238E27FC236}">
              <a16:creationId xmlns:a16="http://schemas.microsoft.com/office/drawing/2014/main" id="{00000000-0008-0000-0800-00008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5" name="Text Box 143">
          <a:extLst>
            <a:ext uri="{FF2B5EF4-FFF2-40B4-BE49-F238E27FC236}">
              <a16:creationId xmlns:a16="http://schemas.microsoft.com/office/drawing/2014/main" id="{00000000-0008-0000-0800-00008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6" name="Text Box 144">
          <a:extLst>
            <a:ext uri="{FF2B5EF4-FFF2-40B4-BE49-F238E27FC236}">
              <a16:creationId xmlns:a16="http://schemas.microsoft.com/office/drawing/2014/main" id="{00000000-0008-0000-0800-00008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7" name="Text Box 145">
          <a:extLst>
            <a:ext uri="{FF2B5EF4-FFF2-40B4-BE49-F238E27FC236}">
              <a16:creationId xmlns:a16="http://schemas.microsoft.com/office/drawing/2014/main" id="{00000000-0008-0000-0800-00008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8" name="Text Box 146">
          <a:extLst>
            <a:ext uri="{FF2B5EF4-FFF2-40B4-BE49-F238E27FC236}">
              <a16:creationId xmlns:a16="http://schemas.microsoft.com/office/drawing/2014/main" id="{00000000-0008-0000-0800-00008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9" name="Text Box 147">
          <a:extLst>
            <a:ext uri="{FF2B5EF4-FFF2-40B4-BE49-F238E27FC236}">
              <a16:creationId xmlns:a16="http://schemas.microsoft.com/office/drawing/2014/main" id="{00000000-0008-0000-0800-00008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0" name="Text Box 148">
          <a:extLst>
            <a:ext uri="{FF2B5EF4-FFF2-40B4-BE49-F238E27FC236}">
              <a16:creationId xmlns:a16="http://schemas.microsoft.com/office/drawing/2014/main" id="{00000000-0008-0000-0800-00008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1" name="Text Box 149">
          <a:extLst>
            <a:ext uri="{FF2B5EF4-FFF2-40B4-BE49-F238E27FC236}">
              <a16:creationId xmlns:a16="http://schemas.microsoft.com/office/drawing/2014/main" id="{00000000-0008-0000-0800-00008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2" name="Text Box 150">
          <a:extLst>
            <a:ext uri="{FF2B5EF4-FFF2-40B4-BE49-F238E27FC236}">
              <a16:creationId xmlns:a16="http://schemas.microsoft.com/office/drawing/2014/main" id="{00000000-0008-0000-0800-00008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3" name="Text Box 151">
          <a:extLst>
            <a:ext uri="{FF2B5EF4-FFF2-40B4-BE49-F238E27FC236}">
              <a16:creationId xmlns:a16="http://schemas.microsoft.com/office/drawing/2014/main" id="{00000000-0008-0000-0800-00008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4" name="Text Box 152">
          <a:extLst>
            <a:ext uri="{FF2B5EF4-FFF2-40B4-BE49-F238E27FC236}">
              <a16:creationId xmlns:a16="http://schemas.microsoft.com/office/drawing/2014/main" id="{00000000-0008-0000-0800-00008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5" name="Text Box 153">
          <a:extLst>
            <a:ext uri="{FF2B5EF4-FFF2-40B4-BE49-F238E27FC236}">
              <a16:creationId xmlns:a16="http://schemas.microsoft.com/office/drawing/2014/main" id="{00000000-0008-0000-0800-00008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6" name="Text Box 154">
          <a:extLst>
            <a:ext uri="{FF2B5EF4-FFF2-40B4-BE49-F238E27FC236}">
              <a16:creationId xmlns:a16="http://schemas.microsoft.com/office/drawing/2014/main" id="{00000000-0008-0000-0800-00008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7" name="Text Box 155">
          <a:extLst>
            <a:ext uri="{FF2B5EF4-FFF2-40B4-BE49-F238E27FC236}">
              <a16:creationId xmlns:a16="http://schemas.microsoft.com/office/drawing/2014/main" id="{00000000-0008-0000-0800-00008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8" name="Text Box 156">
          <a:extLst>
            <a:ext uri="{FF2B5EF4-FFF2-40B4-BE49-F238E27FC236}">
              <a16:creationId xmlns:a16="http://schemas.microsoft.com/office/drawing/2014/main" id="{00000000-0008-0000-0800-00009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9" name="Text Box 157">
          <a:extLst>
            <a:ext uri="{FF2B5EF4-FFF2-40B4-BE49-F238E27FC236}">
              <a16:creationId xmlns:a16="http://schemas.microsoft.com/office/drawing/2014/main" id="{00000000-0008-0000-0800-00009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0" name="Text Box 158">
          <a:extLst>
            <a:ext uri="{FF2B5EF4-FFF2-40B4-BE49-F238E27FC236}">
              <a16:creationId xmlns:a16="http://schemas.microsoft.com/office/drawing/2014/main" id="{00000000-0008-0000-0800-00009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1" name="Text Box 159">
          <a:extLst>
            <a:ext uri="{FF2B5EF4-FFF2-40B4-BE49-F238E27FC236}">
              <a16:creationId xmlns:a16="http://schemas.microsoft.com/office/drawing/2014/main" id="{00000000-0008-0000-0800-00009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2" name="Text Box 160">
          <a:extLst>
            <a:ext uri="{FF2B5EF4-FFF2-40B4-BE49-F238E27FC236}">
              <a16:creationId xmlns:a16="http://schemas.microsoft.com/office/drawing/2014/main" id="{00000000-0008-0000-0800-00009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3" name="Text Box 161">
          <a:extLst>
            <a:ext uri="{FF2B5EF4-FFF2-40B4-BE49-F238E27FC236}">
              <a16:creationId xmlns:a16="http://schemas.microsoft.com/office/drawing/2014/main" id="{00000000-0008-0000-0800-00009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4" name="Text Box 162">
          <a:extLst>
            <a:ext uri="{FF2B5EF4-FFF2-40B4-BE49-F238E27FC236}">
              <a16:creationId xmlns:a16="http://schemas.microsoft.com/office/drawing/2014/main" id="{00000000-0008-0000-0800-00009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5" name="Text Box 163">
          <a:extLst>
            <a:ext uri="{FF2B5EF4-FFF2-40B4-BE49-F238E27FC236}">
              <a16:creationId xmlns:a16="http://schemas.microsoft.com/office/drawing/2014/main" id="{00000000-0008-0000-0800-00009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6" name="Text Box 164">
          <a:extLst>
            <a:ext uri="{FF2B5EF4-FFF2-40B4-BE49-F238E27FC236}">
              <a16:creationId xmlns:a16="http://schemas.microsoft.com/office/drawing/2014/main" id="{00000000-0008-0000-0800-00009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7" name="Text Box 165">
          <a:extLst>
            <a:ext uri="{FF2B5EF4-FFF2-40B4-BE49-F238E27FC236}">
              <a16:creationId xmlns:a16="http://schemas.microsoft.com/office/drawing/2014/main" id="{00000000-0008-0000-0800-00009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8" name="Text Box 166">
          <a:extLst>
            <a:ext uri="{FF2B5EF4-FFF2-40B4-BE49-F238E27FC236}">
              <a16:creationId xmlns:a16="http://schemas.microsoft.com/office/drawing/2014/main" id="{00000000-0008-0000-0800-00009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9" name="Text Box 167">
          <a:extLst>
            <a:ext uri="{FF2B5EF4-FFF2-40B4-BE49-F238E27FC236}">
              <a16:creationId xmlns:a16="http://schemas.microsoft.com/office/drawing/2014/main" id="{00000000-0008-0000-0800-00009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0" name="Text Box 168">
          <a:extLst>
            <a:ext uri="{FF2B5EF4-FFF2-40B4-BE49-F238E27FC236}">
              <a16:creationId xmlns:a16="http://schemas.microsoft.com/office/drawing/2014/main" id="{00000000-0008-0000-0800-00009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1" name="Text Box 169">
          <a:extLst>
            <a:ext uri="{FF2B5EF4-FFF2-40B4-BE49-F238E27FC236}">
              <a16:creationId xmlns:a16="http://schemas.microsoft.com/office/drawing/2014/main" id="{00000000-0008-0000-0800-00009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2" name="Text Box 170">
          <a:extLst>
            <a:ext uri="{FF2B5EF4-FFF2-40B4-BE49-F238E27FC236}">
              <a16:creationId xmlns:a16="http://schemas.microsoft.com/office/drawing/2014/main" id="{00000000-0008-0000-0800-00009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3" name="Text Box 171">
          <a:extLst>
            <a:ext uri="{FF2B5EF4-FFF2-40B4-BE49-F238E27FC236}">
              <a16:creationId xmlns:a16="http://schemas.microsoft.com/office/drawing/2014/main" id="{00000000-0008-0000-0800-00009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4" name="Text Box 172">
          <a:extLst>
            <a:ext uri="{FF2B5EF4-FFF2-40B4-BE49-F238E27FC236}">
              <a16:creationId xmlns:a16="http://schemas.microsoft.com/office/drawing/2014/main" id="{00000000-0008-0000-0800-0000A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5" name="Text Box 173">
          <a:extLst>
            <a:ext uri="{FF2B5EF4-FFF2-40B4-BE49-F238E27FC236}">
              <a16:creationId xmlns:a16="http://schemas.microsoft.com/office/drawing/2014/main" id="{00000000-0008-0000-0800-0000A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6" name="Text Box 174">
          <a:extLst>
            <a:ext uri="{FF2B5EF4-FFF2-40B4-BE49-F238E27FC236}">
              <a16:creationId xmlns:a16="http://schemas.microsoft.com/office/drawing/2014/main" id="{00000000-0008-0000-0800-0000A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7" name="Text Box 175">
          <a:extLst>
            <a:ext uri="{FF2B5EF4-FFF2-40B4-BE49-F238E27FC236}">
              <a16:creationId xmlns:a16="http://schemas.microsoft.com/office/drawing/2014/main" id="{00000000-0008-0000-0800-0000A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8" name="Text Box 176">
          <a:extLst>
            <a:ext uri="{FF2B5EF4-FFF2-40B4-BE49-F238E27FC236}">
              <a16:creationId xmlns:a16="http://schemas.microsoft.com/office/drawing/2014/main" id="{00000000-0008-0000-0800-0000A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9" name="Text Box 177">
          <a:extLst>
            <a:ext uri="{FF2B5EF4-FFF2-40B4-BE49-F238E27FC236}">
              <a16:creationId xmlns:a16="http://schemas.microsoft.com/office/drawing/2014/main" id="{00000000-0008-0000-0800-0000A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0" name="Text Box 178">
          <a:extLst>
            <a:ext uri="{FF2B5EF4-FFF2-40B4-BE49-F238E27FC236}">
              <a16:creationId xmlns:a16="http://schemas.microsoft.com/office/drawing/2014/main" id="{00000000-0008-0000-0800-0000A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1" name="Text Box 179">
          <a:extLst>
            <a:ext uri="{FF2B5EF4-FFF2-40B4-BE49-F238E27FC236}">
              <a16:creationId xmlns:a16="http://schemas.microsoft.com/office/drawing/2014/main" id="{00000000-0008-0000-0800-0000A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2" name="Text Box 180">
          <a:extLst>
            <a:ext uri="{FF2B5EF4-FFF2-40B4-BE49-F238E27FC236}">
              <a16:creationId xmlns:a16="http://schemas.microsoft.com/office/drawing/2014/main" id="{00000000-0008-0000-0800-0000A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3" name="Text Box 181">
          <a:extLst>
            <a:ext uri="{FF2B5EF4-FFF2-40B4-BE49-F238E27FC236}">
              <a16:creationId xmlns:a16="http://schemas.microsoft.com/office/drawing/2014/main" id="{00000000-0008-0000-0800-0000A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4" name="Text Box 182">
          <a:extLst>
            <a:ext uri="{FF2B5EF4-FFF2-40B4-BE49-F238E27FC236}">
              <a16:creationId xmlns:a16="http://schemas.microsoft.com/office/drawing/2014/main" id="{00000000-0008-0000-0800-0000A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5" name="Text Box 183">
          <a:extLst>
            <a:ext uri="{FF2B5EF4-FFF2-40B4-BE49-F238E27FC236}">
              <a16:creationId xmlns:a16="http://schemas.microsoft.com/office/drawing/2014/main" id="{00000000-0008-0000-0800-0000A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6" name="Text Box 184">
          <a:extLst>
            <a:ext uri="{FF2B5EF4-FFF2-40B4-BE49-F238E27FC236}">
              <a16:creationId xmlns:a16="http://schemas.microsoft.com/office/drawing/2014/main" id="{00000000-0008-0000-0800-0000A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7" name="Text Box 185">
          <a:extLst>
            <a:ext uri="{FF2B5EF4-FFF2-40B4-BE49-F238E27FC236}">
              <a16:creationId xmlns:a16="http://schemas.microsoft.com/office/drawing/2014/main" id="{00000000-0008-0000-0800-0000A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8" name="Text Box 186">
          <a:extLst>
            <a:ext uri="{FF2B5EF4-FFF2-40B4-BE49-F238E27FC236}">
              <a16:creationId xmlns:a16="http://schemas.microsoft.com/office/drawing/2014/main" id="{00000000-0008-0000-0800-0000A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9" name="Text Box 187">
          <a:extLst>
            <a:ext uri="{FF2B5EF4-FFF2-40B4-BE49-F238E27FC236}">
              <a16:creationId xmlns:a16="http://schemas.microsoft.com/office/drawing/2014/main" id="{00000000-0008-0000-0800-0000A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0" name="Text Box 188">
          <a:extLst>
            <a:ext uri="{FF2B5EF4-FFF2-40B4-BE49-F238E27FC236}">
              <a16:creationId xmlns:a16="http://schemas.microsoft.com/office/drawing/2014/main" id="{00000000-0008-0000-0800-0000B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1" name="Text Box 189">
          <a:extLst>
            <a:ext uri="{FF2B5EF4-FFF2-40B4-BE49-F238E27FC236}">
              <a16:creationId xmlns:a16="http://schemas.microsoft.com/office/drawing/2014/main" id="{00000000-0008-0000-0800-0000B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2" name="Text Box 190">
          <a:extLst>
            <a:ext uri="{FF2B5EF4-FFF2-40B4-BE49-F238E27FC236}">
              <a16:creationId xmlns:a16="http://schemas.microsoft.com/office/drawing/2014/main" id="{00000000-0008-0000-0800-0000B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3" name="Text Box 191">
          <a:extLst>
            <a:ext uri="{FF2B5EF4-FFF2-40B4-BE49-F238E27FC236}">
              <a16:creationId xmlns:a16="http://schemas.microsoft.com/office/drawing/2014/main" id="{00000000-0008-0000-0800-0000B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4" name="Text Box 192">
          <a:extLst>
            <a:ext uri="{FF2B5EF4-FFF2-40B4-BE49-F238E27FC236}">
              <a16:creationId xmlns:a16="http://schemas.microsoft.com/office/drawing/2014/main" id="{00000000-0008-0000-0800-0000B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5" name="Text Box 193">
          <a:extLst>
            <a:ext uri="{FF2B5EF4-FFF2-40B4-BE49-F238E27FC236}">
              <a16:creationId xmlns:a16="http://schemas.microsoft.com/office/drawing/2014/main" id="{00000000-0008-0000-0800-0000B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6" name="Text Box 194">
          <a:extLst>
            <a:ext uri="{FF2B5EF4-FFF2-40B4-BE49-F238E27FC236}">
              <a16:creationId xmlns:a16="http://schemas.microsoft.com/office/drawing/2014/main" id="{00000000-0008-0000-0800-0000B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7" name="Text Box 195">
          <a:extLst>
            <a:ext uri="{FF2B5EF4-FFF2-40B4-BE49-F238E27FC236}">
              <a16:creationId xmlns:a16="http://schemas.microsoft.com/office/drawing/2014/main" id="{00000000-0008-0000-0800-0000B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8" name="Text Box 196">
          <a:extLst>
            <a:ext uri="{FF2B5EF4-FFF2-40B4-BE49-F238E27FC236}">
              <a16:creationId xmlns:a16="http://schemas.microsoft.com/office/drawing/2014/main" id="{00000000-0008-0000-0800-0000B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9" name="Text Box 197">
          <a:extLst>
            <a:ext uri="{FF2B5EF4-FFF2-40B4-BE49-F238E27FC236}">
              <a16:creationId xmlns:a16="http://schemas.microsoft.com/office/drawing/2014/main" id="{00000000-0008-0000-0800-0000B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0" name="Text Box 198">
          <a:extLst>
            <a:ext uri="{FF2B5EF4-FFF2-40B4-BE49-F238E27FC236}">
              <a16:creationId xmlns:a16="http://schemas.microsoft.com/office/drawing/2014/main" id="{00000000-0008-0000-0800-0000B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1" name="Text Box 199">
          <a:extLst>
            <a:ext uri="{FF2B5EF4-FFF2-40B4-BE49-F238E27FC236}">
              <a16:creationId xmlns:a16="http://schemas.microsoft.com/office/drawing/2014/main" id="{00000000-0008-0000-0800-0000B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2" name="Text Box 200">
          <a:extLst>
            <a:ext uri="{FF2B5EF4-FFF2-40B4-BE49-F238E27FC236}">
              <a16:creationId xmlns:a16="http://schemas.microsoft.com/office/drawing/2014/main" id="{00000000-0008-0000-0800-0000B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3" name="Text Box 201">
          <a:extLst>
            <a:ext uri="{FF2B5EF4-FFF2-40B4-BE49-F238E27FC236}">
              <a16:creationId xmlns:a16="http://schemas.microsoft.com/office/drawing/2014/main" id="{00000000-0008-0000-0800-0000B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4" name="Text Box 202">
          <a:extLst>
            <a:ext uri="{FF2B5EF4-FFF2-40B4-BE49-F238E27FC236}">
              <a16:creationId xmlns:a16="http://schemas.microsoft.com/office/drawing/2014/main" id="{00000000-0008-0000-0800-0000B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5" name="Text Box 203">
          <a:extLst>
            <a:ext uri="{FF2B5EF4-FFF2-40B4-BE49-F238E27FC236}">
              <a16:creationId xmlns:a16="http://schemas.microsoft.com/office/drawing/2014/main" id="{00000000-0008-0000-0800-0000B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6" name="Text Box 204">
          <a:extLst>
            <a:ext uri="{FF2B5EF4-FFF2-40B4-BE49-F238E27FC236}">
              <a16:creationId xmlns:a16="http://schemas.microsoft.com/office/drawing/2014/main" id="{00000000-0008-0000-0800-0000C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7" name="Text Box 205">
          <a:extLst>
            <a:ext uri="{FF2B5EF4-FFF2-40B4-BE49-F238E27FC236}">
              <a16:creationId xmlns:a16="http://schemas.microsoft.com/office/drawing/2014/main" id="{00000000-0008-0000-0800-0000C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8" name="Text Box 206">
          <a:extLst>
            <a:ext uri="{FF2B5EF4-FFF2-40B4-BE49-F238E27FC236}">
              <a16:creationId xmlns:a16="http://schemas.microsoft.com/office/drawing/2014/main" id="{00000000-0008-0000-0800-0000C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9" name="Text Box 207">
          <a:extLst>
            <a:ext uri="{FF2B5EF4-FFF2-40B4-BE49-F238E27FC236}">
              <a16:creationId xmlns:a16="http://schemas.microsoft.com/office/drawing/2014/main" id="{00000000-0008-0000-0800-0000C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0" name="Text Box 208">
          <a:extLst>
            <a:ext uri="{FF2B5EF4-FFF2-40B4-BE49-F238E27FC236}">
              <a16:creationId xmlns:a16="http://schemas.microsoft.com/office/drawing/2014/main" id="{00000000-0008-0000-0800-0000C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1" name="Text Box 209">
          <a:extLst>
            <a:ext uri="{FF2B5EF4-FFF2-40B4-BE49-F238E27FC236}">
              <a16:creationId xmlns:a16="http://schemas.microsoft.com/office/drawing/2014/main" id="{00000000-0008-0000-0800-0000C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2" name="Text Box 210">
          <a:extLst>
            <a:ext uri="{FF2B5EF4-FFF2-40B4-BE49-F238E27FC236}">
              <a16:creationId xmlns:a16="http://schemas.microsoft.com/office/drawing/2014/main" id="{00000000-0008-0000-0800-0000C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3" name="Text Box 211">
          <a:extLst>
            <a:ext uri="{FF2B5EF4-FFF2-40B4-BE49-F238E27FC236}">
              <a16:creationId xmlns:a16="http://schemas.microsoft.com/office/drawing/2014/main" id="{00000000-0008-0000-0800-0000C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4" name="Text Box 212">
          <a:extLst>
            <a:ext uri="{FF2B5EF4-FFF2-40B4-BE49-F238E27FC236}">
              <a16:creationId xmlns:a16="http://schemas.microsoft.com/office/drawing/2014/main" id="{00000000-0008-0000-0800-0000C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5" name="Text Box 213">
          <a:extLst>
            <a:ext uri="{FF2B5EF4-FFF2-40B4-BE49-F238E27FC236}">
              <a16:creationId xmlns:a16="http://schemas.microsoft.com/office/drawing/2014/main" id="{00000000-0008-0000-0800-0000C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6" name="Text Box 214">
          <a:extLst>
            <a:ext uri="{FF2B5EF4-FFF2-40B4-BE49-F238E27FC236}">
              <a16:creationId xmlns:a16="http://schemas.microsoft.com/office/drawing/2014/main" id="{00000000-0008-0000-0800-0000C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7" name="Text Box 215">
          <a:extLst>
            <a:ext uri="{FF2B5EF4-FFF2-40B4-BE49-F238E27FC236}">
              <a16:creationId xmlns:a16="http://schemas.microsoft.com/office/drawing/2014/main" id="{00000000-0008-0000-0800-0000C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8" name="Text Box 216">
          <a:extLst>
            <a:ext uri="{FF2B5EF4-FFF2-40B4-BE49-F238E27FC236}">
              <a16:creationId xmlns:a16="http://schemas.microsoft.com/office/drawing/2014/main" id="{00000000-0008-0000-0800-0000C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9" name="Text Box 217">
          <a:extLst>
            <a:ext uri="{FF2B5EF4-FFF2-40B4-BE49-F238E27FC236}">
              <a16:creationId xmlns:a16="http://schemas.microsoft.com/office/drawing/2014/main" id="{00000000-0008-0000-0800-0000C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0" name="Text Box 218">
          <a:extLst>
            <a:ext uri="{FF2B5EF4-FFF2-40B4-BE49-F238E27FC236}">
              <a16:creationId xmlns:a16="http://schemas.microsoft.com/office/drawing/2014/main" id="{00000000-0008-0000-0800-0000C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1" name="Text Box 219">
          <a:extLst>
            <a:ext uri="{FF2B5EF4-FFF2-40B4-BE49-F238E27FC236}">
              <a16:creationId xmlns:a16="http://schemas.microsoft.com/office/drawing/2014/main" id="{00000000-0008-0000-0800-0000C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2" name="Text Box 220">
          <a:extLst>
            <a:ext uri="{FF2B5EF4-FFF2-40B4-BE49-F238E27FC236}">
              <a16:creationId xmlns:a16="http://schemas.microsoft.com/office/drawing/2014/main" id="{00000000-0008-0000-0800-0000D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3" name="Text Box 221">
          <a:extLst>
            <a:ext uri="{FF2B5EF4-FFF2-40B4-BE49-F238E27FC236}">
              <a16:creationId xmlns:a16="http://schemas.microsoft.com/office/drawing/2014/main" id="{00000000-0008-0000-0800-0000D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4" name="Text Box 222">
          <a:extLst>
            <a:ext uri="{FF2B5EF4-FFF2-40B4-BE49-F238E27FC236}">
              <a16:creationId xmlns:a16="http://schemas.microsoft.com/office/drawing/2014/main" id="{00000000-0008-0000-0800-0000D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5" name="Text Box 223">
          <a:extLst>
            <a:ext uri="{FF2B5EF4-FFF2-40B4-BE49-F238E27FC236}">
              <a16:creationId xmlns:a16="http://schemas.microsoft.com/office/drawing/2014/main" id="{00000000-0008-0000-0800-0000D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6" name="Text Box 224">
          <a:extLst>
            <a:ext uri="{FF2B5EF4-FFF2-40B4-BE49-F238E27FC236}">
              <a16:creationId xmlns:a16="http://schemas.microsoft.com/office/drawing/2014/main" id="{00000000-0008-0000-0800-0000D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7" name="Text Box 225">
          <a:extLst>
            <a:ext uri="{FF2B5EF4-FFF2-40B4-BE49-F238E27FC236}">
              <a16:creationId xmlns:a16="http://schemas.microsoft.com/office/drawing/2014/main" id="{00000000-0008-0000-0800-0000D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8" name="Text Box 226">
          <a:extLst>
            <a:ext uri="{FF2B5EF4-FFF2-40B4-BE49-F238E27FC236}">
              <a16:creationId xmlns:a16="http://schemas.microsoft.com/office/drawing/2014/main" id="{00000000-0008-0000-0800-0000D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19" name="Text Box 227">
          <a:extLst>
            <a:ext uri="{FF2B5EF4-FFF2-40B4-BE49-F238E27FC236}">
              <a16:creationId xmlns:a16="http://schemas.microsoft.com/office/drawing/2014/main" id="{00000000-0008-0000-0800-0000D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0" name="Text Box 228">
          <a:extLst>
            <a:ext uri="{FF2B5EF4-FFF2-40B4-BE49-F238E27FC236}">
              <a16:creationId xmlns:a16="http://schemas.microsoft.com/office/drawing/2014/main" id="{00000000-0008-0000-0800-0000D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1" name="Text Box 229">
          <a:extLst>
            <a:ext uri="{FF2B5EF4-FFF2-40B4-BE49-F238E27FC236}">
              <a16:creationId xmlns:a16="http://schemas.microsoft.com/office/drawing/2014/main" id="{00000000-0008-0000-0800-0000D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2" name="Text Box 230">
          <a:extLst>
            <a:ext uri="{FF2B5EF4-FFF2-40B4-BE49-F238E27FC236}">
              <a16:creationId xmlns:a16="http://schemas.microsoft.com/office/drawing/2014/main" id="{00000000-0008-0000-0800-0000D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3" name="Text Box 231">
          <a:extLst>
            <a:ext uri="{FF2B5EF4-FFF2-40B4-BE49-F238E27FC236}">
              <a16:creationId xmlns:a16="http://schemas.microsoft.com/office/drawing/2014/main" id="{00000000-0008-0000-0800-0000D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4" name="Text Box 232">
          <a:extLst>
            <a:ext uri="{FF2B5EF4-FFF2-40B4-BE49-F238E27FC236}">
              <a16:creationId xmlns:a16="http://schemas.microsoft.com/office/drawing/2014/main" id="{00000000-0008-0000-0800-0000D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5" name="Text Box 233">
          <a:extLst>
            <a:ext uri="{FF2B5EF4-FFF2-40B4-BE49-F238E27FC236}">
              <a16:creationId xmlns:a16="http://schemas.microsoft.com/office/drawing/2014/main" id="{00000000-0008-0000-0800-0000D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6" name="Text Box 234">
          <a:extLst>
            <a:ext uri="{FF2B5EF4-FFF2-40B4-BE49-F238E27FC236}">
              <a16:creationId xmlns:a16="http://schemas.microsoft.com/office/drawing/2014/main" id="{00000000-0008-0000-0800-0000D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7" name="Text Box 235">
          <a:extLst>
            <a:ext uri="{FF2B5EF4-FFF2-40B4-BE49-F238E27FC236}">
              <a16:creationId xmlns:a16="http://schemas.microsoft.com/office/drawing/2014/main" id="{00000000-0008-0000-0800-0000D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8" name="Text Box 236">
          <a:extLst>
            <a:ext uri="{FF2B5EF4-FFF2-40B4-BE49-F238E27FC236}">
              <a16:creationId xmlns:a16="http://schemas.microsoft.com/office/drawing/2014/main" id="{00000000-0008-0000-0800-0000E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9" name="Text Box 237">
          <a:extLst>
            <a:ext uri="{FF2B5EF4-FFF2-40B4-BE49-F238E27FC236}">
              <a16:creationId xmlns:a16="http://schemas.microsoft.com/office/drawing/2014/main" id="{00000000-0008-0000-0800-0000E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0" name="Text Box 238">
          <a:extLst>
            <a:ext uri="{FF2B5EF4-FFF2-40B4-BE49-F238E27FC236}">
              <a16:creationId xmlns:a16="http://schemas.microsoft.com/office/drawing/2014/main" id="{00000000-0008-0000-0800-0000E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1" name="Text Box 239">
          <a:extLst>
            <a:ext uri="{FF2B5EF4-FFF2-40B4-BE49-F238E27FC236}">
              <a16:creationId xmlns:a16="http://schemas.microsoft.com/office/drawing/2014/main" id="{00000000-0008-0000-0800-0000E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2" name="Text Box 240">
          <a:extLst>
            <a:ext uri="{FF2B5EF4-FFF2-40B4-BE49-F238E27FC236}">
              <a16:creationId xmlns:a16="http://schemas.microsoft.com/office/drawing/2014/main" id="{00000000-0008-0000-0800-0000E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3" name="Text Box 241">
          <a:extLst>
            <a:ext uri="{FF2B5EF4-FFF2-40B4-BE49-F238E27FC236}">
              <a16:creationId xmlns:a16="http://schemas.microsoft.com/office/drawing/2014/main" id="{00000000-0008-0000-0800-0000E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4" name="Text Box 242">
          <a:extLst>
            <a:ext uri="{FF2B5EF4-FFF2-40B4-BE49-F238E27FC236}">
              <a16:creationId xmlns:a16="http://schemas.microsoft.com/office/drawing/2014/main" id="{00000000-0008-0000-0800-0000E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5" name="Text Box 243">
          <a:extLst>
            <a:ext uri="{FF2B5EF4-FFF2-40B4-BE49-F238E27FC236}">
              <a16:creationId xmlns:a16="http://schemas.microsoft.com/office/drawing/2014/main" id="{00000000-0008-0000-0800-0000E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6" name="Text Box 244">
          <a:extLst>
            <a:ext uri="{FF2B5EF4-FFF2-40B4-BE49-F238E27FC236}">
              <a16:creationId xmlns:a16="http://schemas.microsoft.com/office/drawing/2014/main" id="{00000000-0008-0000-0800-0000E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7" name="Text Box 245">
          <a:extLst>
            <a:ext uri="{FF2B5EF4-FFF2-40B4-BE49-F238E27FC236}">
              <a16:creationId xmlns:a16="http://schemas.microsoft.com/office/drawing/2014/main" id="{00000000-0008-0000-0800-0000E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8" name="Text Box 246">
          <a:extLst>
            <a:ext uri="{FF2B5EF4-FFF2-40B4-BE49-F238E27FC236}">
              <a16:creationId xmlns:a16="http://schemas.microsoft.com/office/drawing/2014/main" id="{00000000-0008-0000-0800-0000E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9" name="Text Box 247">
          <a:extLst>
            <a:ext uri="{FF2B5EF4-FFF2-40B4-BE49-F238E27FC236}">
              <a16:creationId xmlns:a16="http://schemas.microsoft.com/office/drawing/2014/main" id="{00000000-0008-0000-0800-0000E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0" name="Text Box 248">
          <a:extLst>
            <a:ext uri="{FF2B5EF4-FFF2-40B4-BE49-F238E27FC236}">
              <a16:creationId xmlns:a16="http://schemas.microsoft.com/office/drawing/2014/main" id="{00000000-0008-0000-0800-0000E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1" name="Text Box 249">
          <a:extLst>
            <a:ext uri="{FF2B5EF4-FFF2-40B4-BE49-F238E27FC236}">
              <a16:creationId xmlns:a16="http://schemas.microsoft.com/office/drawing/2014/main" id="{00000000-0008-0000-0800-0000E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2" name="Text Box 250">
          <a:extLst>
            <a:ext uri="{FF2B5EF4-FFF2-40B4-BE49-F238E27FC236}">
              <a16:creationId xmlns:a16="http://schemas.microsoft.com/office/drawing/2014/main" id="{00000000-0008-0000-0800-0000E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3" name="Text Box 251">
          <a:extLst>
            <a:ext uri="{FF2B5EF4-FFF2-40B4-BE49-F238E27FC236}">
              <a16:creationId xmlns:a16="http://schemas.microsoft.com/office/drawing/2014/main" id="{00000000-0008-0000-0800-0000E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4" name="Text Box 252">
          <a:extLst>
            <a:ext uri="{FF2B5EF4-FFF2-40B4-BE49-F238E27FC236}">
              <a16:creationId xmlns:a16="http://schemas.microsoft.com/office/drawing/2014/main" id="{00000000-0008-0000-0800-0000F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5" name="Text Box 253">
          <a:extLst>
            <a:ext uri="{FF2B5EF4-FFF2-40B4-BE49-F238E27FC236}">
              <a16:creationId xmlns:a16="http://schemas.microsoft.com/office/drawing/2014/main" id="{00000000-0008-0000-0800-0000F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6" name="Text Box 254">
          <a:extLst>
            <a:ext uri="{FF2B5EF4-FFF2-40B4-BE49-F238E27FC236}">
              <a16:creationId xmlns:a16="http://schemas.microsoft.com/office/drawing/2014/main" id="{00000000-0008-0000-0800-0000F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7" name="Text Box 255">
          <a:extLst>
            <a:ext uri="{FF2B5EF4-FFF2-40B4-BE49-F238E27FC236}">
              <a16:creationId xmlns:a16="http://schemas.microsoft.com/office/drawing/2014/main" id="{00000000-0008-0000-0800-0000F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8" name="Text Box 256">
          <a:extLst>
            <a:ext uri="{FF2B5EF4-FFF2-40B4-BE49-F238E27FC236}">
              <a16:creationId xmlns:a16="http://schemas.microsoft.com/office/drawing/2014/main" id="{00000000-0008-0000-0800-0000F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9" name="Text Box 257">
          <a:extLst>
            <a:ext uri="{FF2B5EF4-FFF2-40B4-BE49-F238E27FC236}">
              <a16:creationId xmlns:a16="http://schemas.microsoft.com/office/drawing/2014/main" id="{00000000-0008-0000-0800-0000F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0" name="Text Box 258">
          <a:extLst>
            <a:ext uri="{FF2B5EF4-FFF2-40B4-BE49-F238E27FC236}">
              <a16:creationId xmlns:a16="http://schemas.microsoft.com/office/drawing/2014/main" id="{00000000-0008-0000-0800-0000F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1" name="Text Box 259">
          <a:extLst>
            <a:ext uri="{FF2B5EF4-FFF2-40B4-BE49-F238E27FC236}">
              <a16:creationId xmlns:a16="http://schemas.microsoft.com/office/drawing/2014/main" id="{00000000-0008-0000-0800-0000F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2" name="Text Box 260">
          <a:extLst>
            <a:ext uri="{FF2B5EF4-FFF2-40B4-BE49-F238E27FC236}">
              <a16:creationId xmlns:a16="http://schemas.microsoft.com/office/drawing/2014/main" id="{00000000-0008-0000-0800-0000F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3" name="Text Box 261">
          <a:extLst>
            <a:ext uri="{FF2B5EF4-FFF2-40B4-BE49-F238E27FC236}">
              <a16:creationId xmlns:a16="http://schemas.microsoft.com/office/drawing/2014/main" id="{00000000-0008-0000-0800-0000F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4" name="Text Box 262">
          <a:extLst>
            <a:ext uri="{FF2B5EF4-FFF2-40B4-BE49-F238E27FC236}">
              <a16:creationId xmlns:a16="http://schemas.microsoft.com/office/drawing/2014/main" id="{00000000-0008-0000-0800-0000F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5" name="Text Box 263">
          <a:extLst>
            <a:ext uri="{FF2B5EF4-FFF2-40B4-BE49-F238E27FC236}">
              <a16:creationId xmlns:a16="http://schemas.microsoft.com/office/drawing/2014/main" id="{00000000-0008-0000-0800-0000F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6" name="Text Box 264">
          <a:extLst>
            <a:ext uri="{FF2B5EF4-FFF2-40B4-BE49-F238E27FC236}">
              <a16:creationId xmlns:a16="http://schemas.microsoft.com/office/drawing/2014/main" id="{00000000-0008-0000-0800-0000F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7" name="Text Box 265">
          <a:extLst>
            <a:ext uri="{FF2B5EF4-FFF2-40B4-BE49-F238E27FC236}">
              <a16:creationId xmlns:a16="http://schemas.microsoft.com/office/drawing/2014/main" id="{00000000-0008-0000-0800-0000F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8" name="Text Box 266">
          <a:extLst>
            <a:ext uri="{FF2B5EF4-FFF2-40B4-BE49-F238E27FC236}">
              <a16:creationId xmlns:a16="http://schemas.microsoft.com/office/drawing/2014/main" id="{00000000-0008-0000-0800-0000F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9" name="Text Box 267">
          <a:extLst>
            <a:ext uri="{FF2B5EF4-FFF2-40B4-BE49-F238E27FC236}">
              <a16:creationId xmlns:a16="http://schemas.microsoft.com/office/drawing/2014/main" id="{00000000-0008-0000-0800-0000F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0" name="Text Box 268">
          <a:extLst>
            <a:ext uri="{FF2B5EF4-FFF2-40B4-BE49-F238E27FC236}">
              <a16:creationId xmlns:a16="http://schemas.microsoft.com/office/drawing/2014/main" id="{00000000-0008-0000-0800-00000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1" name="Text Box 269">
          <a:extLst>
            <a:ext uri="{FF2B5EF4-FFF2-40B4-BE49-F238E27FC236}">
              <a16:creationId xmlns:a16="http://schemas.microsoft.com/office/drawing/2014/main" id="{00000000-0008-0000-0800-00000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2" name="Text Box 270">
          <a:extLst>
            <a:ext uri="{FF2B5EF4-FFF2-40B4-BE49-F238E27FC236}">
              <a16:creationId xmlns:a16="http://schemas.microsoft.com/office/drawing/2014/main" id="{00000000-0008-0000-0800-00000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3" name="Text Box 271">
          <a:extLst>
            <a:ext uri="{FF2B5EF4-FFF2-40B4-BE49-F238E27FC236}">
              <a16:creationId xmlns:a16="http://schemas.microsoft.com/office/drawing/2014/main" id="{00000000-0008-0000-0800-00000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4" name="Text Box 272">
          <a:extLst>
            <a:ext uri="{FF2B5EF4-FFF2-40B4-BE49-F238E27FC236}">
              <a16:creationId xmlns:a16="http://schemas.microsoft.com/office/drawing/2014/main" id="{00000000-0008-0000-0800-00000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5" name="Text Box 273">
          <a:extLst>
            <a:ext uri="{FF2B5EF4-FFF2-40B4-BE49-F238E27FC236}">
              <a16:creationId xmlns:a16="http://schemas.microsoft.com/office/drawing/2014/main" id="{00000000-0008-0000-0800-00000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6" name="Text Box 274">
          <a:extLst>
            <a:ext uri="{FF2B5EF4-FFF2-40B4-BE49-F238E27FC236}">
              <a16:creationId xmlns:a16="http://schemas.microsoft.com/office/drawing/2014/main" id="{00000000-0008-0000-0800-00000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7" name="Text Box 275">
          <a:extLst>
            <a:ext uri="{FF2B5EF4-FFF2-40B4-BE49-F238E27FC236}">
              <a16:creationId xmlns:a16="http://schemas.microsoft.com/office/drawing/2014/main" id="{00000000-0008-0000-0800-00000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8" name="Text Box 276">
          <a:extLst>
            <a:ext uri="{FF2B5EF4-FFF2-40B4-BE49-F238E27FC236}">
              <a16:creationId xmlns:a16="http://schemas.microsoft.com/office/drawing/2014/main" id="{00000000-0008-0000-0800-00000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9" name="Text Box 277">
          <a:extLst>
            <a:ext uri="{FF2B5EF4-FFF2-40B4-BE49-F238E27FC236}">
              <a16:creationId xmlns:a16="http://schemas.microsoft.com/office/drawing/2014/main" id="{00000000-0008-0000-0800-00000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0" name="Text Box 278">
          <a:extLst>
            <a:ext uri="{FF2B5EF4-FFF2-40B4-BE49-F238E27FC236}">
              <a16:creationId xmlns:a16="http://schemas.microsoft.com/office/drawing/2014/main" id="{00000000-0008-0000-0800-00000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1" name="Text Box 279">
          <a:extLst>
            <a:ext uri="{FF2B5EF4-FFF2-40B4-BE49-F238E27FC236}">
              <a16:creationId xmlns:a16="http://schemas.microsoft.com/office/drawing/2014/main" id="{00000000-0008-0000-0800-00000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2" name="Text Box 280">
          <a:extLst>
            <a:ext uri="{FF2B5EF4-FFF2-40B4-BE49-F238E27FC236}">
              <a16:creationId xmlns:a16="http://schemas.microsoft.com/office/drawing/2014/main" id="{00000000-0008-0000-0800-00000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3" name="Text Box 281">
          <a:extLst>
            <a:ext uri="{FF2B5EF4-FFF2-40B4-BE49-F238E27FC236}">
              <a16:creationId xmlns:a16="http://schemas.microsoft.com/office/drawing/2014/main" id="{00000000-0008-0000-0800-00000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4" name="Text Box 282">
          <a:extLst>
            <a:ext uri="{FF2B5EF4-FFF2-40B4-BE49-F238E27FC236}">
              <a16:creationId xmlns:a16="http://schemas.microsoft.com/office/drawing/2014/main" id="{00000000-0008-0000-0800-00000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5" name="Text Box 283">
          <a:extLst>
            <a:ext uri="{FF2B5EF4-FFF2-40B4-BE49-F238E27FC236}">
              <a16:creationId xmlns:a16="http://schemas.microsoft.com/office/drawing/2014/main" id="{00000000-0008-0000-0800-00000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6" name="Text Box 284">
          <a:extLst>
            <a:ext uri="{FF2B5EF4-FFF2-40B4-BE49-F238E27FC236}">
              <a16:creationId xmlns:a16="http://schemas.microsoft.com/office/drawing/2014/main" id="{00000000-0008-0000-0800-00001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7" name="Text Box 285">
          <a:extLst>
            <a:ext uri="{FF2B5EF4-FFF2-40B4-BE49-F238E27FC236}">
              <a16:creationId xmlns:a16="http://schemas.microsoft.com/office/drawing/2014/main" id="{00000000-0008-0000-0800-00001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8" name="Text Box 286">
          <a:extLst>
            <a:ext uri="{FF2B5EF4-FFF2-40B4-BE49-F238E27FC236}">
              <a16:creationId xmlns:a16="http://schemas.microsoft.com/office/drawing/2014/main" id="{00000000-0008-0000-0800-00001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9" name="Text Box 287">
          <a:extLst>
            <a:ext uri="{FF2B5EF4-FFF2-40B4-BE49-F238E27FC236}">
              <a16:creationId xmlns:a16="http://schemas.microsoft.com/office/drawing/2014/main" id="{00000000-0008-0000-0800-00001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0" name="Text Box 288">
          <a:extLst>
            <a:ext uri="{FF2B5EF4-FFF2-40B4-BE49-F238E27FC236}">
              <a16:creationId xmlns:a16="http://schemas.microsoft.com/office/drawing/2014/main" id="{00000000-0008-0000-0800-00001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1" name="Text Box 289">
          <a:extLst>
            <a:ext uri="{FF2B5EF4-FFF2-40B4-BE49-F238E27FC236}">
              <a16:creationId xmlns:a16="http://schemas.microsoft.com/office/drawing/2014/main" id="{00000000-0008-0000-0800-00001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2" name="Text Box 290">
          <a:extLst>
            <a:ext uri="{FF2B5EF4-FFF2-40B4-BE49-F238E27FC236}">
              <a16:creationId xmlns:a16="http://schemas.microsoft.com/office/drawing/2014/main" id="{00000000-0008-0000-0800-00001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3" name="Text Box 291">
          <a:extLst>
            <a:ext uri="{FF2B5EF4-FFF2-40B4-BE49-F238E27FC236}">
              <a16:creationId xmlns:a16="http://schemas.microsoft.com/office/drawing/2014/main" id="{00000000-0008-0000-0800-00001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4" name="Text Box 292">
          <a:extLst>
            <a:ext uri="{FF2B5EF4-FFF2-40B4-BE49-F238E27FC236}">
              <a16:creationId xmlns:a16="http://schemas.microsoft.com/office/drawing/2014/main" id="{00000000-0008-0000-0800-00001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5" name="Text Box 293">
          <a:extLst>
            <a:ext uri="{FF2B5EF4-FFF2-40B4-BE49-F238E27FC236}">
              <a16:creationId xmlns:a16="http://schemas.microsoft.com/office/drawing/2014/main" id="{00000000-0008-0000-0800-00001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6" name="Text Box 294">
          <a:extLst>
            <a:ext uri="{FF2B5EF4-FFF2-40B4-BE49-F238E27FC236}">
              <a16:creationId xmlns:a16="http://schemas.microsoft.com/office/drawing/2014/main" id="{00000000-0008-0000-0800-00001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7" name="Text Box 295">
          <a:extLst>
            <a:ext uri="{FF2B5EF4-FFF2-40B4-BE49-F238E27FC236}">
              <a16:creationId xmlns:a16="http://schemas.microsoft.com/office/drawing/2014/main" id="{00000000-0008-0000-0800-00001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8" name="Text Box 296">
          <a:extLst>
            <a:ext uri="{FF2B5EF4-FFF2-40B4-BE49-F238E27FC236}">
              <a16:creationId xmlns:a16="http://schemas.microsoft.com/office/drawing/2014/main" id="{00000000-0008-0000-0800-00001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89" name="Text Box 297">
          <a:extLst>
            <a:ext uri="{FF2B5EF4-FFF2-40B4-BE49-F238E27FC236}">
              <a16:creationId xmlns:a16="http://schemas.microsoft.com/office/drawing/2014/main" id="{00000000-0008-0000-0800-00001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0" name="Text Box 298">
          <a:extLst>
            <a:ext uri="{FF2B5EF4-FFF2-40B4-BE49-F238E27FC236}">
              <a16:creationId xmlns:a16="http://schemas.microsoft.com/office/drawing/2014/main" id="{00000000-0008-0000-0800-00001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1" name="Text Box 299">
          <a:extLst>
            <a:ext uri="{FF2B5EF4-FFF2-40B4-BE49-F238E27FC236}">
              <a16:creationId xmlns:a16="http://schemas.microsoft.com/office/drawing/2014/main" id="{00000000-0008-0000-0800-00001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2" name="Text Box 300">
          <a:extLst>
            <a:ext uri="{FF2B5EF4-FFF2-40B4-BE49-F238E27FC236}">
              <a16:creationId xmlns:a16="http://schemas.microsoft.com/office/drawing/2014/main" id="{00000000-0008-0000-0800-00002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3" name="Text Box 301">
          <a:extLst>
            <a:ext uri="{FF2B5EF4-FFF2-40B4-BE49-F238E27FC236}">
              <a16:creationId xmlns:a16="http://schemas.microsoft.com/office/drawing/2014/main" id="{00000000-0008-0000-0800-00002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4" name="Text Box 302">
          <a:extLst>
            <a:ext uri="{FF2B5EF4-FFF2-40B4-BE49-F238E27FC236}">
              <a16:creationId xmlns:a16="http://schemas.microsoft.com/office/drawing/2014/main" id="{00000000-0008-0000-0800-00002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5" name="Text Box 303">
          <a:extLst>
            <a:ext uri="{FF2B5EF4-FFF2-40B4-BE49-F238E27FC236}">
              <a16:creationId xmlns:a16="http://schemas.microsoft.com/office/drawing/2014/main" id="{00000000-0008-0000-0800-00002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6" name="Text Box 304">
          <a:extLst>
            <a:ext uri="{FF2B5EF4-FFF2-40B4-BE49-F238E27FC236}">
              <a16:creationId xmlns:a16="http://schemas.microsoft.com/office/drawing/2014/main" id="{00000000-0008-0000-0800-00002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7" name="Text Box 305">
          <a:extLst>
            <a:ext uri="{FF2B5EF4-FFF2-40B4-BE49-F238E27FC236}">
              <a16:creationId xmlns:a16="http://schemas.microsoft.com/office/drawing/2014/main" id="{00000000-0008-0000-0800-00002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8" name="Text Box 306">
          <a:extLst>
            <a:ext uri="{FF2B5EF4-FFF2-40B4-BE49-F238E27FC236}">
              <a16:creationId xmlns:a16="http://schemas.microsoft.com/office/drawing/2014/main" id="{00000000-0008-0000-0800-00002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9" name="Text Box 307">
          <a:extLst>
            <a:ext uri="{FF2B5EF4-FFF2-40B4-BE49-F238E27FC236}">
              <a16:creationId xmlns:a16="http://schemas.microsoft.com/office/drawing/2014/main" id="{00000000-0008-0000-0800-00002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0" name="Text Box 308">
          <a:extLst>
            <a:ext uri="{FF2B5EF4-FFF2-40B4-BE49-F238E27FC236}">
              <a16:creationId xmlns:a16="http://schemas.microsoft.com/office/drawing/2014/main" id="{00000000-0008-0000-0800-00002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1" name="Text Box 309">
          <a:extLst>
            <a:ext uri="{FF2B5EF4-FFF2-40B4-BE49-F238E27FC236}">
              <a16:creationId xmlns:a16="http://schemas.microsoft.com/office/drawing/2014/main" id="{00000000-0008-0000-0800-00002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2" name="Text Box 310">
          <a:extLst>
            <a:ext uri="{FF2B5EF4-FFF2-40B4-BE49-F238E27FC236}">
              <a16:creationId xmlns:a16="http://schemas.microsoft.com/office/drawing/2014/main" id="{00000000-0008-0000-0800-00002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3" name="Text Box 311">
          <a:extLst>
            <a:ext uri="{FF2B5EF4-FFF2-40B4-BE49-F238E27FC236}">
              <a16:creationId xmlns:a16="http://schemas.microsoft.com/office/drawing/2014/main" id="{00000000-0008-0000-0800-00002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4" name="Text Box 312">
          <a:extLst>
            <a:ext uri="{FF2B5EF4-FFF2-40B4-BE49-F238E27FC236}">
              <a16:creationId xmlns:a16="http://schemas.microsoft.com/office/drawing/2014/main" id="{00000000-0008-0000-0800-00002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5" name="Text Box 313">
          <a:extLst>
            <a:ext uri="{FF2B5EF4-FFF2-40B4-BE49-F238E27FC236}">
              <a16:creationId xmlns:a16="http://schemas.microsoft.com/office/drawing/2014/main" id="{00000000-0008-0000-0800-00002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6" name="Text Box 314">
          <a:extLst>
            <a:ext uri="{FF2B5EF4-FFF2-40B4-BE49-F238E27FC236}">
              <a16:creationId xmlns:a16="http://schemas.microsoft.com/office/drawing/2014/main" id="{00000000-0008-0000-0800-00002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7" name="Text Box 315">
          <a:extLst>
            <a:ext uri="{FF2B5EF4-FFF2-40B4-BE49-F238E27FC236}">
              <a16:creationId xmlns:a16="http://schemas.microsoft.com/office/drawing/2014/main" id="{00000000-0008-0000-0800-00002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8" name="Text Box 316">
          <a:extLst>
            <a:ext uri="{FF2B5EF4-FFF2-40B4-BE49-F238E27FC236}">
              <a16:creationId xmlns:a16="http://schemas.microsoft.com/office/drawing/2014/main" id="{00000000-0008-0000-0800-00003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9" name="Text Box 317">
          <a:extLst>
            <a:ext uri="{FF2B5EF4-FFF2-40B4-BE49-F238E27FC236}">
              <a16:creationId xmlns:a16="http://schemas.microsoft.com/office/drawing/2014/main" id="{00000000-0008-0000-0800-00003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0" name="Text Box 318">
          <a:extLst>
            <a:ext uri="{FF2B5EF4-FFF2-40B4-BE49-F238E27FC236}">
              <a16:creationId xmlns:a16="http://schemas.microsoft.com/office/drawing/2014/main" id="{00000000-0008-0000-0800-00003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1" name="Text Box 319">
          <a:extLst>
            <a:ext uri="{FF2B5EF4-FFF2-40B4-BE49-F238E27FC236}">
              <a16:creationId xmlns:a16="http://schemas.microsoft.com/office/drawing/2014/main" id="{00000000-0008-0000-0800-00003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2" name="Text Box 320">
          <a:extLst>
            <a:ext uri="{FF2B5EF4-FFF2-40B4-BE49-F238E27FC236}">
              <a16:creationId xmlns:a16="http://schemas.microsoft.com/office/drawing/2014/main" id="{00000000-0008-0000-0800-00003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364807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171449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>
          <a:spLocks noChangeArrowheads="1"/>
        </xdr:cNvSpPr>
      </xdr:nvSpPr>
      <xdr:spPr bwMode="auto">
        <a:xfrm>
          <a:off x="11372850" y="4667250"/>
          <a:ext cx="104775" cy="3714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3" name="Text Box 29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4" name="Text Box 30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5" name="Text Box 31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6" name="Text Box 32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7" name="Text Box 33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8" name="Text Box 34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9" name="Text Box 35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0" name="Text Box 36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1" name="Text Box 37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2" name="Text Box 38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3" name="Text Box 39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4" name="Text Box 40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5" name="Text Box 41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6" name="Text Box 4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7" name="Text Box 43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8" name="Text Box 44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9" name="Text Box 45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0" name="Text Box 46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1" name="Text Box 47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2" name="Text Box 4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3" name="Text Box 49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4" name="Text Box 50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5" name="Text Box 51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6" name="Text Box 52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7" name="Text Box 53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8" name="Text Box 54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9" name="Text Box 55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0" name="Text Box 56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1" name="Text Box 57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2" name="Text Box 58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3" name="Text Box 59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4" name="Text Box 60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5" name="Text Box 61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6" name="Text Box 62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7" name="Text Box 63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8" name="Text Box 64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9" name="Text Box 65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0" name="Text Box 66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1" name="Text Box 67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2" name="Text Box 68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3" name="Text Box 69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4" name="Text Box 70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5" name="Text Box 71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6" name="Text Box 72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7" name="Text Box 73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8" name="Text Box 74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9" name="Text Box 75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0" name="Text Box 76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1" name="Text Box 77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2" name="Text Box 78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3" name="Text Box 79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4" name="Text Box 80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5" name="Text Box 81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6" name="Text Box 8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7" name="Text Box 83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8" name="Text Box 84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9" name="Text Box 85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0" name="Text Box 86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1" name="Text Box 87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2" name="Text Box 8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3" name="Text Box 89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4" name="Text Box 90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5" name="Text Box 91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6" name="Text Box 92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7" name="Text Box 93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8" name="Text Box 9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9" name="Text Box 95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0" name="Text Box 96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1" name="Text Box 97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2" name="Text Box 100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3" name="Text Box 101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4" name="Text Box 102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5" name="Text Box 103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6" name="Text Box 104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7" name="Text Box 105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8" name="Text Box 106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9" name="Text Box 107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0" name="Text Box 108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1" name="Text Box 109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2" name="Text Box 110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3" name="Text Box 111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4" name="Text Box 119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5" name="Text Box 120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6" name="Text Box 121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7" name="Text Box 12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8" name="Text Box 123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9" name="Text Box 124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0" name="Text Box 125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1" name="Text Box 126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2" name="Text Box 127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3" name="Text Box 12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4" name="Text Box 129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5" name="Text Box 130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6" name="Text Box 133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7" name="Text Box 134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8" name="Text Box 135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9" name="Text Box 136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0" name="Text Box 137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1" name="Text Box 138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2" name="Text Box 139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3" name="Text Box 140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4" name="Text Box 141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5" name="Text Box 142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6" name="Text Box 143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7" name="Text Box 144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8" name="Text Box 145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9" name="Text Box 146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0" name="Text Box 147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1" name="Text Box 14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2" name="Text Box 149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3" name="Text Box 150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4" name="Text Box 151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5" name="Text Box 152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6" name="Text Box 153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7" name="Text Box 15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8" name="Text Box 155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9" name="Text Box 156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0" name="Text Box 157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1" name="Text Box 158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2" name="Text Box 159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3" name="Text Box 160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4" name="Text Box 161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5" name="Text Box 162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6" name="Text Box 163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7" name="Text Box 164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8" name="Text Box 165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9" name="Text Box 166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0" name="Text Box 167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1" name="Text Box 168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2" name="Text Box 169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3" name="Text Box 170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4" name="Text Box 171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5" name="Text Box 172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6" name="Text Box 173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7" name="Text Box 174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8" name="Text Box 175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9" name="Text Box 176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0" name="Text Box 177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1" name="Text Box 178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2" name="Text Box 179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3" name="Text Box 180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4" name="Text Box 181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5" name="Text Box 182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6" name="Text Box 183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7" name="Text Box 184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8" name="Text Box 185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9" name="Text Box 186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0" name="Text Box 187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1" name="Text Box 188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2" name="Text Box 189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3" name="Text Box 190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4" name="Text Box 191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5" name="Text Box 19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6" name="Text Box 193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7" name="Text Box 194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8" name="Text Box 195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9" name="Text Box 196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0" name="Text Box 197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1" name="Text Box 198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2" name="Text Box 199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3" name="Text Box 200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4" name="Text Box 201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5" name="Text Box 202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6" name="Text Box 203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7" name="Text Box 204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8" name="Text Box 205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9" name="Text Box 206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0" name="Text Box 207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1" name="Text Box 208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2" name="Text Box 209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3" name="Text Box 210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4" name="Text Box 211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5" name="Text Box 21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6" name="Text Box 213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7" name="Text Box 214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8" name="Text Box 215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9" name="Text Box 216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0" name="Text Box 217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1" name="Text Box 21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2" name="Text Box 219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3" name="Text Box 220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4" name="Text Box 221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5" name="Text Box 222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6" name="Text Box 223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7" name="Text Box 224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8" name="Text Box 225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9" name="Text Box 226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0" name="Text Box 227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1" name="Text Box 228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2" name="Text Box 229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3" name="Text Box 230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4" name="Text Box 231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5" name="Text Box 232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6" name="Text Box 233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7" name="Text Box 234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8" name="Text Box 235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9" name="Text Box 236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0" name="Text Box 237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1" name="Text Box 238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2" name="Text Box 239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3" name="Text Box 240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4" name="Text Box 241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5" name="Text Box 242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6" name="Text Box 243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7" name="Text Box 244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8" name="Text Box 245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9" name="Text Box 246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0" name="Text Box 247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1" name="Text Box 248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2" name="Text Box 249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3" name="Text Box 250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4" name="Text Box 251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5" name="Text Box 25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6" name="Text Box 253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7" name="Text Box 254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8" name="Text Box 255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9" name="Text Box 256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0" name="Text Box 257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1" name="Text Box 2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2" name="Text Box 259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3" name="Text Box 260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4" name="Text Box 261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5" name="Text Box 262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6" name="Text Box 263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7" name="Text Box 26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8" name="Text Box 265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9" name="Text Box 266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0" name="Text Box 267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1" name="Text Box 268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2" name="Text Box 269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3" name="Text Box 270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4" name="Text Box 271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5" name="Text Box 272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6" name="Text Box 273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7" name="Text Box 274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8" name="Text Box 275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9" name="Text Box 276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0" name="Text Box 277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1" name="Text Box 278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2" name="Text Box 279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3" name="Text Box 280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4" name="Text Box 281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5" name="Text Box 28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6" name="Text Box 283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7" name="Text Box 284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8" name="Text Box 285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9" name="Text Box 286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0" name="Text Box 287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1" name="Text Box 28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2" name="Text Box 289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3" name="Text Box 290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4" name="Text Box 291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5" name="Text Box 292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6" name="Text Box 293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7" name="Text Box 294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8" name="Text Box 295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9" name="Text Box 296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0" name="Text Box 297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1" name="Text Box 298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2" name="Text Box 299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3" name="Text Box 300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4" name="Text Box 301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5" name="Text Box 302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6" name="Text Box 303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7" name="Text Box 304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8" name="Text Box 305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9" name="Text Box 306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0" name="Text Box 307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1" name="Text Box 308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2" name="Text Box 309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3" name="Text Box 310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4" name="Text Box 311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5" name="Text Box 312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6" name="Text Box 313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7" name="Text Box 314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8" name="Text Box 315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9" name="Text Box 316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0" name="Text Box 317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1" name="Text Box 318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2" name="Text Box 319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3" name="Text Box 320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4" name="Text Box 2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5" name="Text Box 29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6" name="Text Box 30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7" name="Text Box 31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8" name="Text Box 32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9" name="Text Box 33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0" name="Text Box 3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1" name="Text Box 35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2" name="Text Box 36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3" name="Text Box 37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4" name="Text Box 38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5" name="Text Box 39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6" name="Text Box 40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7" name="Text Box 41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8" name="Text Box 42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9" name="Text Box 43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0" name="Text Box 44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1" name="Text Box 45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2" name="Text Box 46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3" name="Text Box 47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4" name="Text Box 48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5" name="Text Box 49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6" name="Text Box 50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7" name="Text Box 51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8" name="Text Box 5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9" name="Text Box 53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0" name="Text Box 54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1" name="Text Box 55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2" name="Text Box 56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3" name="Text Box 57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4" name="Text Box 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5" name="Text Box 59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6" name="Text Box 60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7" name="Text Box 61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8" name="Text Box 62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9" name="Text Box 63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0" name="Text Box 64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1" name="Text Box 65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2" name="Text Box 66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3" name="Text Box 67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4" name="Text Box 68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5" name="Text Box 69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6" name="Text Box 70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7" name="Text Box 71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8" name="Text Box 72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9" name="Text Box 73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0" name="Text Box 74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1" name="Text Box 75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2" name="Text Box 76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3" name="Text Box 77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4" name="Text Box 78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5" name="Text Box 79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6" name="Text Box 80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7" name="Text Box 81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8" name="Text Box 82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9" name="Text Box 83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0" name="Text Box 84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1" name="Text Box 85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2" name="Text Box 86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3" name="Text Box 87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4" name="Text Box 88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5" name="Text Box 89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6" name="Text Box 90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7" name="Text Box 91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8" name="Text Box 92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9" name="Text Box 93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0" name="Text Box 94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1" name="Text Box 95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2" name="Text Box 96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3" name="Text Box 97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4" name="Text Box 100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5" name="Text Box 101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6" name="Text Box 102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7" name="Text Box 103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8" name="Text Box 104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9" name="Text Box 105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0" name="Text Box 106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1" name="Text Box 107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2" name="Text Box 108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3" name="Text Box 109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4" name="Text Box 110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5" name="Text Box 111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6" name="Text Box 119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7" name="Text Box 120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8" name="Text Box 121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9" name="Text Box 12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0" name="Text Box 123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1" name="Text Box 124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2" name="Text Box 125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3" name="Text Box 126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4" name="Text Box 127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5" name="Text Box 12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6" name="Text Box 129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7" name="Text Box 130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8" name="Text Box 133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9" name="Text Box 134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0" name="Text Box 135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1" name="Text Box 136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2" name="Text Box 137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3" name="Text Box 138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4" name="Text Box 139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5" name="Text Box 140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6" name="Text Box 141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7" name="Text Box 142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8" name="Text Box 143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9" name="Text Box 144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0" name="Text Box 145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1" name="Text Box 146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2" name="Text Box 147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3" name="Text Box 148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4" name="Text Box 149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5" name="Text Box 150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6" name="Text Box 151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7" name="Text Box 152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8" name="Text Box 153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9" name="Text Box 154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0" name="Text Box 155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1" name="Text Box 156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2" name="Text Box 157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3" name="Text Box 158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4" name="Text Box 159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5" name="Text Box 160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6" name="Text Box 161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7" name="Text Box 16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8" name="Text Box 163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9" name="Text Box 164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0" name="Text Box 165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1" name="Text Box 166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2" name="Text Box 167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3" name="Text Box 16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4" name="Text Box 169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5" name="Text Box 170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6" name="Text Box 171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7" name="Text Box 172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8" name="Text Box 173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9" name="Text Box 174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0" name="Text Box 175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1" name="Text Box 176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2" name="Text Box 177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3" name="Text Box 178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4" name="Text Box 179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5" name="Text Box 180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6" name="Text Box 181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7" name="Text Box 182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8" name="Text Box 183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9" name="Text Box 184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0" name="Text Box 185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1" name="Text Box 186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2" name="Text Box 187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3" name="Text Box 188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4" name="Text Box 189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5" name="Text Box 190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6" name="Text Box 191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7" name="Text Box 19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8" name="Text Box 193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9" name="Text Box 194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0" name="Text Box 195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1" name="Text Box 196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2" name="Text Box 197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3" name="Text Box 19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4" name="Text Box 199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5" name="Text Box 200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6" name="Text Box 201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7" name="Text Box 202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8" name="Text Box 203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9" name="Text Box 20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0" name="Text Box 205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1" name="Text Box 206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2" name="Text Box 207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3" name="Text Box 208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4" name="Text Box 209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5" name="Text Box 210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6" name="Text Box 211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7" name="Text Box 212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8" name="Text Box 213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9" name="Text Box 214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0" name="Text Box 215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1" name="Text Box 216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2" name="Text Box 217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3" name="Text Box 218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4" name="Text Box 219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5" name="Text Box 220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6" name="Text Box 221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7" name="Text Box 22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8" name="Text Box 223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9" name="Text Box 224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0" name="Text Box 225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1" name="Text Box 226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2" name="Text Box 227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3" name="Text Box 22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4" name="Text Box 229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5" name="Text Box 230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6" name="Text Box 231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7" name="Text Box 232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8" name="Text Box 233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9" name="Text Box 234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0" name="Text Box 235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1" name="Text Box 236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2" name="Text Box 237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3" name="Text Box 238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4" name="Text Box 239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5" name="Text Box 240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6" name="Text Box 241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7" name="Text Box 242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8" name="Text Box 243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9" name="Text Box 244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0" name="Text Box 245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1" name="Text Box 246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2" name="Text Box 247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3" name="Text Box 248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4" name="Text Box 249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5" name="Text Box 250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6" name="Text Box 251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7" name="Text Box 252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8" name="Text Box 253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9" name="Text Box 254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0" name="Text Box 255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1" name="Text Box 256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2" name="Text Box 257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3" name="Text Box 258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4" name="Text Box 259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5" name="Text Box 260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6" name="Text Box 261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7" name="Text Box 26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8" name="Text Box 263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9" name="Text Box 264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0" name="Text Box 265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1" name="Text Box 266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2" name="Text Box 267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3" name="Text Box 26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4" name="Text Box 269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5" name="Text Box 270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6" name="Text Box 271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7" name="Text Box 272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8" name="Text Box 273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9" name="Text Box 27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0" name="Text Box 275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1" name="Text Box 276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2" name="Text Box 277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3" name="Text Box 278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4" name="Text Box 279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5" name="Text Box 280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6" name="Text Box 281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7" name="Text Box 282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8" name="Text Box 283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9" name="Text Box 284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0" name="Text Box 285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1" name="Text Box 286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2" name="Text Box 287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3" name="Text Box 288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4" name="Text Box 289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5" name="Text Box 290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6" name="Text Box 291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7" name="Text Box 29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8" name="Text Box 293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9" name="Text Box 294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0" name="Text Box 295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1" name="Text Box 296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2" name="Text Box 297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3" name="Text Box 29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4" name="Text Box 299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5" name="Text Box 300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6" name="Text Box 301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7" name="Text Box 302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8" name="Text Box 303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9" name="Text Box 304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0" name="Text Box 305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1" name="Text Box 306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2" name="Text Box 307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3" name="Text Box 308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4" name="Text Box 309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5" name="Text Box 310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6" name="Text Box 311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7" name="Text Box 312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8" name="Text Box 313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9" name="Text Box 314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0" name="Text Box 315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1" name="Text Box 316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2" name="Text Box 317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3" name="Text Box 318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4" name="Text Box 319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5" name="Text Box 320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6" name="Text Box 28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7" name="Text Box 29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8" name="Text Box 30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9" name="Text Box 31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0" name="Text Box 3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1" name="Text Box 33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2" name="Text Box 34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3" name="Text Box 35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4" name="Text Box 36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5" name="Text Box 37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6" name="Text Box 3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7" name="Text Box 39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8" name="Text Box 40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9" name="Text Box 41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0" name="Text Box 42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1" name="Text Box 43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2" name="Text Box 4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3" name="Text Box 45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4" name="Text Box 46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5" name="Text Box 47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6" name="Text Box 4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7" name="Text Box 49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8" name="Text Box 50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9" name="Text Box 51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0" name="Text Box 52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1" name="Text Box 53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2" name="Text Box 54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3" name="Text Box 55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4" name="Text Box 56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5" name="Text Box 57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6" name="Text Box 58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7" name="Text Box 59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8" name="Text Box 60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9" name="Text Box 61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0" name="Text Box 62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1" name="Text Box 63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2" name="Text Box 64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3" name="Text Box 65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4" name="Text Box 66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5" name="Text Box 67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6" name="Text Box 68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7" name="Text Box 69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8" name="Text Box 70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9" name="Text Box 71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0" name="Text Box 7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1" name="Text Box 73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2" name="Text Box 74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3" name="Text Box 75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4" name="Text Box 76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5" name="Text Box 77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6" name="Text Box 7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7" name="Text Box 79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8" name="Text Box 80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9" name="Text Box 81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0" name="Text Box 82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1" name="Text Box 83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2" name="Text Box 84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3" name="Text Box 85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4" name="Text Box 86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5" name="Text Box 87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6" name="Text Box 88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7" name="Text Box 89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8" name="Text Box 90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9" name="Text Box 91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0" name="Text Box 92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1" name="Text Box 93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2" name="Text Box 94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3" name="Text Box 95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4" name="Text Box 96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5" name="Text Box 97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6" name="Text Box 100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7" name="Text Box 101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8" name="Text Box 1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9" name="Text Box 103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0" name="Text Box 104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1" name="Text Box 105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2" name="Text Box 106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3" name="Text Box 107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4" name="Text Box 108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5" name="Text Box 109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6" name="Text Box 110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7" name="Text Box 111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8" name="Text Box 119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9" name="Text Box 120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0" name="Text Box 121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1" name="Text Box 122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2" name="Text Box 123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3" name="Text Box 12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4" name="Text Box 125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5" name="Text Box 126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6" name="Text Box 127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7" name="Text Box 128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8" name="Text Box 129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9" name="Text Box 130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0" name="Text Box 133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1" name="Text Box 134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2" name="Text Box 135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3" name="Text Box 136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4" name="Text Box 137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5" name="Text Box 138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6" name="Text Box 139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7" name="Text Box 140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8" name="Text Box 141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9" name="Text Box 14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0" name="Text Box 143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1" name="Text Box 144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2" name="Text Box 145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3" name="Text Box 146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4" name="Text Box 147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5" name="Text Box 148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6" name="Text Box 149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7" name="Text Box 150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8" name="Text Box 151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9" name="Text Box 152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0" name="Text Box 153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1" name="Text Box 154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2" name="Text Box 155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3" name="Text Box 156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4" name="Text Box 157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5" name="Text Box 158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6" name="Text Box 159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7" name="Text Box 160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8" name="Text Box 161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9" name="Text Box 16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0" name="Text Box 163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1" name="Text Box 164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2" name="Text Box 165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3" name="Text Box 166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4" name="Text Box 167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5" name="Text Box 16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6" name="Text Box 169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7" name="Text Box 170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8" name="Text Box 171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9" name="Text Box 172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0" name="Text Box 173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1" name="Text Box 174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2" name="Text Box 175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3" name="Text Box 176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4" name="Text Box 177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5" name="Text Box 178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6" name="Text Box 179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7" name="Text Box 180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8" name="Text Box 181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9" name="Text Box 182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0" name="Text Box 183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1" name="Text Box 184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2" name="Text Box 185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3" name="Text Box 186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4" name="Text Box 187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5" name="Text Box 188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6" name="Text Box 189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7" name="Text Box 190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8" name="Text Box 191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9" name="Text Box 192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0" name="Text Box 193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1" name="Text Box 194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2" name="Text Box 195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3" name="Text Box 196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4" name="Text Box 197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5" name="Text Box 198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6" name="Text Box 199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7" name="Text Box 200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8" name="Text Box 201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9" name="Text Box 2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0" name="Text Box 203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1" name="Text Box 204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2" name="Text Box 205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3" name="Text Box 206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4" name="Text Box 207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5" name="Text Box 20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6" name="Text Box 209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7" name="Text Box 210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8" name="Text Box 211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9" name="Text Box 212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0" name="Text Box 213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1" name="Text Box 21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2" name="Text Box 215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3" name="Text Box 216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4" name="Text Box 217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5" name="Text Box 218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6" name="Text Box 219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7" name="Text Box 220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8" name="Text Box 221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9" name="Text Box 222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0" name="Text Box 223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1" name="Text Box 224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2" name="Text Box 225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3" name="Text Box 226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4" name="Text Box 227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5" name="Text Box 228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6" name="Text Box 229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7" name="Text Box 230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8" name="Text Box 231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9" name="Text Box 23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0" name="Text Box 233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1" name="Text Box 234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2" name="Text Box 235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3" name="Text Box 236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4" name="Text Box 237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5" name="Text Box 23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6" name="Text Box 239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7" name="Text Box 240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8" name="Text Box 241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9" name="Text Box 242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0" name="Text Box 243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1" name="Text Box 244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2" name="Text Box 245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3" name="Text Box 246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4" name="Text Box 247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5" name="Text Box 248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6" name="Text Box 249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7" name="Text Box 250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8" name="Text Box 251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9" name="Text Box 252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0" name="Text Box 253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1" name="Text Box 254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2" name="Text Box 255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3" name="Text Box 256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4" name="Text Box 257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5" name="Text Box 258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6" name="Text Box 259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7" name="Text Box 260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8" name="Text Box 261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9" name="Text Box 262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0" name="Text Box 263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1" name="Text Box 264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2" name="Text Box 265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3" name="Text Box 266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4" name="Text Box 267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5" name="Text Box 268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6" name="Text Box 269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7" name="Text Box 270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8" name="Text Box 271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9" name="Text Box 27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0" name="Text Box 273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1" name="Text Box 274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2" name="Text Box 275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3" name="Text Box 276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4" name="Text Box 277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5" name="Text Box 27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6" name="Text Box 279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7" name="Text Box 280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8" name="Text Box 281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9" name="Text Box 282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0" name="Text Box 283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1" name="Text Box 28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2" name="Text Box 285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3" name="Text Box 286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4" name="Text Box 287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5" name="Text Box 288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6" name="Text Box 289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7" name="Text Box 290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8" name="Text Box 291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9" name="Text Box 292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0" name="Text Box 293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1" name="Text Box 294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2" name="Text Box 295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3" name="Text Box 296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4" name="Text Box 297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5" name="Text Box 298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6" name="Text Box 299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7" name="Text Box 300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8" name="Text Box 301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9" name="Text Box 3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0" name="Text Box 303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1" name="Text Box 304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2" name="Text Box 305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3" name="Text Box 306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4" name="Text Box 307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5" name="Text Box 30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6" name="Text Box 309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7" name="Text Box 310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8" name="Text Box 311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9" name="Text Box 312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0" name="Text Box 313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1" name="Text Box 314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2" name="Text Box 315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3" name="Text Box 316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4" name="Text Box 317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5" name="Text Box 31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6" name="Text Box 319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7" name="Text Box 320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8" name="Text Box 28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9" name="Text Box 29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0" name="Text Box 30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1" name="Text Box 31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2" name="Text Box 32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3" name="Text Box 33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4" name="Text Box 34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5" name="Text Box 35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6" name="Text Box 36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7" name="Text Box 37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8" name="Text Box 38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9" name="Text Box 39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0" name="Text Box 40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1" name="Text Box 41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2" name="Text Box 42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3" name="Text Box 43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4" name="Text Box 44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5" name="Text Box 45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6" name="Text Box 46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7" name="Text Box 47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8" name="Text Box 48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9" name="Text Box 49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0" name="Text Box 50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1" name="Text Box 51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2" name="Text Box 5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3" name="Text Box 53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4" name="Text Box 54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5" name="Text Box 55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6" name="Text Box 56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7" name="Text Box 57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8" name="Text Box 58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9" name="Text Box 59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0" name="Text Box 60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1" name="Text Box 61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2" name="Text Box 62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3" name="Text Box 63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4" name="Text Box 64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5" name="Text Box 65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6" name="Text Box 66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7" name="Text Box 67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8" name="Text Box 68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9" name="Text Box 69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0" name="Text Box 70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1" name="Text Box 71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2" name="Text Box 7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3" name="Text Box 73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4" name="Text Box 74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5" name="Text Box 75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6" name="Text Box 76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7" name="Text Box 77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8" name="Text Box 78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9" name="Text Box 79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0" name="Text Box 80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1" name="Text Box 81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2" name="Text Box 82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3" name="Text Box 83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4" name="Text Box 8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5" name="Text Box 85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6" name="Text Box 86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7" name="Text Box 87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8" name="Text Box 88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9" name="Text Box 89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0" name="Text Box 90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1" name="Text Box 91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2" name="Text Box 9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3" name="Text Box 93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4" name="Text Box 94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5" name="Text Box 95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6" name="Text Box 96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7" name="Text Box 97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8" name="Text Box 100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9" name="Text Box 101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0" name="Text Box 102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1" name="Text Box 103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2" name="Text Box 104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3" name="Text Box 105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4" name="Text Box 106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5" name="Text Box 107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6" name="Text Box 108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7" name="Text Box 109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8" name="Text Box 110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9" name="Text Box 111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0" name="Text Box 119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1" name="Text Box 120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2" name="Text Box 121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3" name="Text Box 122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4" name="Text Box 123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5" name="Text Box 12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6" name="Text Box 125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7" name="Text Box 126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8" name="Text Box 127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9" name="Text Box 128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0" name="Text Box 129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1" name="Text Box 130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2" name="Text Box 133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3" name="Text Box 134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4" name="Text Box 135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5" name="Text Box 136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6" name="Text Box 137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7" name="Text Box 138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8" name="Text Box 139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9" name="Text Box 140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0" name="Text Box 141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1" name="Text Box 14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2" name="Text Box 143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3" name="Text Box 144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4" name="Text Box 145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5" name="Text Box 146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6" name="Text Box 147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7" name="Text Box 14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8" name="Text Box 149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9" name="Text Box 150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0" name="Text Box 151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1" name="Text Box 152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2" name="Text Box 153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3" name="Text Box 15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4" name="Text Box 155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5" name="Text Box 156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6" name="Text Box 157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7" name="Text Box 158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8" name="Text Box 159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9" name="Text Box 160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0" name="Text Box 161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1" name="Text Box 162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2" name="Text Box 163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3" name="Text Box 164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4" name="Text Box 165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5" name="Text Box 166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6" name="Text Box 167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7" name="Text Box 168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8" name="Text Box 169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9" name="Text Box 170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0" name="Text Box 171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1" name="Text Box 17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2" name="Text Box 173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3" name="Text Box 174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4" name="Text Box 175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5" name="Text Box 176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6" name="Text Box 177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7" name="Text Box 17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8" name="Text Box 179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9" name="Text Box 180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0" name="Text Box 181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1" name="Text Box 182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2" name="Text Box 183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3" name="Text Box 184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4" name="Text Box 185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5" name="Text Box 186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6" name="Text Box 187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7" name="Text Box 188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8" name="Text Box 189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9" name="Text Box 190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0" name="Text Box 191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1" name="Text Box 192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2" name="Text Box 193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3" name="Text Box 194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4" name="Text Box 195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5" name="Text Box 196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6" name="Text Box 197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7" name="Text Box 198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8" name="Text Box 199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9" name="Text Box 200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0" name="Text Box 201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1" name="Text Box 202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2" name="Text Box 203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3" name="Text Box 204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4" name="Text Box 205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5" name="Text Box 206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6" name="Text Box 207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7" name="Text Box 208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8" name="Text Box 209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9" name="Text Box 210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0" name="Text Box 211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1" name="Text Box 21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2" name="Text Box 213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3" name="Text Box 214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4" name="Text Box 215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5" name="Text Box 216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6" name="Text Box 217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7" name="Text Box 21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8" name="Text Box 219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9" name="Text Box 220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0" name="Text Box 221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1" name="Text Box 222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2" name="Text Box 223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3" name="Text Box 22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4" name="Text Box 225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5" name="Text Box 226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6" name="Text Box 227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7" name="Text Box 228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8" name="Text Box 229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9" name="Text Box 230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0" name="Text Box 231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1" name="Text Box 232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2" name="Text Box 233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3" name="Text Box 234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4" name="Text Box 235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5" name="Text Box 236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6" name="Text Box 237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7" name="Text Box 238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8" name="Text Box 239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9" name="Text Box 240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0" name="Text Box 241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1" name="Text Box 24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2" name="Text Box 243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3" name="Text Box 244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4" name="Text Box 245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5" name="Text Box 246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6" name="Text Box 247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7" name="Text Box 24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8" name="Text Box 249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9" name="Text Box 250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0" name="Text Box 251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1" name="Text Box 252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2" name="Text Box 253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3" name="Text Box 254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4" name="Text Box 255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5" name="Text Box 256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6" name="Text Box 257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7" name="Text Box 258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8" name="Text Box 259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9" name="Text Box 260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0" name="Text Box 261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1" name="Text Box 262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2" name="Text Box 263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3" name="Text Box 264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4" name="Text Box 265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5" name="Text Box 266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6" name="Text Box 267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7" name="Text Box 268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8" name="Text Box 269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9" name="Text Box 270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0" name="Text Box 271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1" name="Text Box 272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2" name="Text Box 273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3" name="Text Box 274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4" name="Text Box 275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5" name="Text Box 276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6" name="Text Box 277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7" name="Text Box 278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8" name="Text Box 279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9" name="Text Box 280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0" name="Text Box 281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1" name="Text Box 28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2" name="Text Box 283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3" name="Text Box 284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4" name="Text Box 285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5" name="Text Box 286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6" name="Text Box 287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7" name="Text Box 288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8" name="Text Box 289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9" name="Text Box 290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0" name="Text Box 291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1" name="Text Box 29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2" name="Text Box 293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3" name="Text Box 294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4" name="Text Box 295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5" name="Text Box 296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6" name="Text Box 297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7" name="Text Box 298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8" name="Text Box 299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9" name="Text Box 300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0" name="Text Box 301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1" name="Text Box 302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2" name="Text Box 303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3" name="Text Box 30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4" name="Text Box 305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5" name="Text Box 306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6" name="Text Box 307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7" name="Text Box 308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8" name="Text Box 309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9" name="Text Box 310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0" name="Text Box 311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1" name="Text Box 312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2" name="Text Box 313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3" name="Text Box 314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4" name="Text Box 315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5" name="Text Box 316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6" name="Text Box 317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7" name="Text Box 318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8" name="Text Box 319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9" name="Text Box 320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0" name="Text Box 2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1" name="Text Box 29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2" name="Text Box 30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3" name="Text Box 31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4" name="Text Box 32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5" name="Text Box 33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6" name="Text Box 34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7" name="Text Box 35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8" name="Text Box 36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9" name="Text Box 37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0" name="Text Box 38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1" name="Text Box 39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2" name="Text Box 40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3" name="Text Box 41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4" name="Text Box 42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5" name="Text Box 43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6" name="Text Box 44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7" name="Text Box 45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8" name="Text Box 46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9" name="Text Box 47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0" name="Text Box 48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1" name="Text Box 49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2" name="Text Box 50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3" name="Text Box 51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4" name="Text Box 5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5" name="Text Box 53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6" name="Text Box 54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7" name="Text Box 55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8" name="Text Box 56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9" name="Text Box 57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0" name="Text Box 58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1" name="Text Box 59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2" name="Text Box 60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3" name="Text Box 61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4" name="Text Box 62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5" name="Text Box 63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6" name="Text Box 64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7" name="Text Box 65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8" name="Text Box 66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9" name="Text Box 67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0" name="Text Box 6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1" name="Text Box 69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2" name="Text Box 70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3" name="Text Box 71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4" name="Text Box 72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5" name="Text Box 73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6" name="Text Box 74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7" name="Text Box 75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8" name="Text Box 76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9" name="Text Box 77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0" name="Text Box 78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1" name="Text Box 79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2" name="Text Box 80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3" name="Text Box 81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4" name="Text Box 82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5" name="Text Box 83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6" name="Text Box 84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7" name="Text Box 85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8" name="Text Box 86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9" name="Text Box 87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0" name="Text Box 88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1" name="Text Box 89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2" name="Text Box 90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3" name="Text Box 91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4" name="Text Box 9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5" name="Text Box 93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6" name="Text Box 94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7" name="Text Box 95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8" name="Text Box 96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9" name="Text Box 97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0" name="Text Box 100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1" name="Text Box 101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2" name="Text Box 102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3" name="Text Box 103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4" name="Text Box 104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5" name="Text Box 105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6" name="Text Box 106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7" name="Text Box 107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8" name="Text Box 108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9" name="Text Box 109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0" name="Text Box 110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1" name="Text Box 111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2" name="Text Box 119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3" name="Text Box 120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4" name="Text Box 121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5" name="Text Box 12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6" name="Text Box 123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7" name="Text Box 124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8" name="Text Box 125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9" name="Text Box 126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0" name="Text Box 127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1" name="Text Box 12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2" name="Text Box 129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3" name="Text Box 130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4" name="Text Box 133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5" name="Text Box 134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6" name="Text Box 135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7" name="Text Box 136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8" name="Text Box 137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9" name="Text Box 138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0" name="Text Box 139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1" name="Text Box 140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2" name="Text Box 141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3" name="Text Box 142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4" name="Text Box 143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5" name="Text Box 144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6" name="Text Box 145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7" name="Text Box 146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8" name="Text Box 147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9" name="Text Box 148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0" name="Text Box 149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1" name="Text Box 150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2" name="Text Box 151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3" name="Text Box 15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4" name="Text Box 153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5" name="Text Box 154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6" name="Text Box 155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7" name="Text Box 156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8" name="Text Box 157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9" name="Text Box 1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0" name="Text Box 159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1" name="Text Box 160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2" name="Text Box 161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3" name="Text Box 162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4" name="Text Box 163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5" name="Text Box 16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6" name="Text Box 165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7" name="Text Box 166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8" name="Text Box 167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9" name="Text Box 168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0" name="Text Box 169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1" name="Text Box 170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2" name="Text Box 171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3" name="Text Box 172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4" name="Text Box 173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5" name="Text Box 174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6" name="Text Box 175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7" name="Text Box 176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8" name="Text Box 177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9" name="Text Box 178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0" name="Text Box 179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1" name="Text Box 180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2" name="Text Box 181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3" name="Text Box 18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4" name="Text Box 183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5" name="Text Box 184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6" name="Text Box 185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7" name="Text Box 186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8" name="Text Box 187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9" name="Text Box 18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0" name="Text Box 189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1" name="Text Box 190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2" name="Text Box 191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3" name="Text Box 192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4" name="Text Box 193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5" name="Text Box 194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6" name="Text Box 195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7" name="Text Box 196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8" name="Text Box 197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9" name="Text Box 198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0" name="Text Box 199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1" name="Text Box 200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2" name="Text Box 201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3" name="Text Box 202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4" name="Text Box 203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5" name="Text Box 204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6" name="Text Box 205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7" name="Text Box 206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8" name="Text Box 207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9" name="Text Box 208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0" name="Text Box 209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1" name="Text Box 210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2" name="Text Box 211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3" name="Text Box 212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4" name="Text Box 213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5" name="Text Box 214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6" name="Text Box 215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7" name="Text Box 216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8" name="Text Box 217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9" name="Text Box 218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0" name="Text Box 219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1" name="Text Box 220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2" name="Text Box 221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3" name="Text Box 22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4" name="Text Box 223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5" name="Text Box 224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6" name="Text Box 225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7" name="Text Box 226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8" name="Text Box 227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9" name="Text Box 22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0" name="Text Box 229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1" name="Text Box 230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2" name="Text Box 231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3" name="Text Box 232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4" name="Text Box 233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5" name="Text Box 23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6" name="Text Box 235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7" name="Text Box 236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8" name="Text Box 237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9" name="Text Box 238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0" name="Text Box 239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1" name="Text Box 240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2" name="Text Box 241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3" name="Text Box 242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4" name="Text Box 243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5" name="Text Box 244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6" name="Text Box 245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7" name="Text Box 246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8" name="Text Box 247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9" name="Text Box 248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0" name="Text Box 249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1" name="Text Box 250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2" name="Text Box 251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3" name="Text Box 25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4" name="Text Box 253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5" name="Text Box 254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6" name="Text Box 255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7" name="Text Box 256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8" name="Text Box 257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9" name="Text Box 2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0" name="Text Box 259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1" name="Text Box 260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2" name="Text Box 261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3" name="Text Box 262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4" name="Text Box 263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5" name="Text Box 264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6" name="Text Box 265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7" name="Text Box 266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8" name="Text Box 267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9" name="Text Box 26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0" name="Text Box 269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1" name="Text Box 270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2" name="Text Box 271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3" name="Text Box 272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4" name="Text Box 273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5" name="Text Box 274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6" name="Text Box 275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7" name="Text Box 276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8" name="Text Box 277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9" name="Text Box 278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0" name="Text Box 279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1" name="Text Box 280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2" name="Text Box 281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3" name="Text Box 282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4" name="Text Box 283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5" name="Text Box 284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6" name="Text Box 285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7" name="Text Box 286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8" name="Text Box 287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9" name="Text Box 288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0" name="Text Box 289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1" name="Text Box 290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2" name="Text Box 291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3" name="Text Box 292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4" name="Text Box 293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5" name="Text Box 294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6" name="Text Box 295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7" name="Text Box 296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8" name="Text Box 297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9" name="Text Box 298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0" name="Text Box 299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1" name="Text Box 300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2" name="Text Box 301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3" name="Text Box 302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4" name="Text Box 303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5" name="Text Box 30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6" name="Text Box 305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7" name="Text Box 306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8" name="Text Box 307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9" name="Text Box 308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0" name="Text Box 309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1" name="Text Box 310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2" name="Text Box 311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3" name="Text Box 312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4" name="Text Box 313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5" name="Text Box 314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6" name="Text Box 315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7" name="Text Box 316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8" name="Text Box 317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9" name="Text Box 318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0" name="Text Box 319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1" name="Text Box 320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U48"/>
  <sheetViews>
    <sheetView topLeftCell="F1" workbookViewId="0">
      <pane ySplit="2" topLeftCell="A5" activePane="bottomLeft" state="frozen"/>
      <selection pane="bottomLeft" activeCell="Q17" sqref="Q17"/>
    </sheetView>
  </sheetViews>
  <sheetFormatPr baseColWidth="10" defaultRowHeight="14" x14ac:dyDescent="0.3"/>
  <cols>
    <col min="1" max="1" width="4.69921875" customWidth="1"/>
    <col min="2" max="2" width="20.69921875" customWidth="1"/>
    <col min="3" max="3" width="8.69921875" customWidth="1"/>
    <col min="4" max="4" width="20.69921875" customWidth="1"/>
    <col min="5" max="5" width="8.69921875" customWidth="1"/>
    <col min="6" max="6" width="20.69921875" customWidth="1"/>
    <col min="7" max="7" width="8.69921875" customWidth="1"/>
    <col min="8" max="8" width="10.69921875" customWidth="1"/>
    <col min="9" max="9" width="15.69921875" customWidth="1"/>
    <col min="10" max="10" width="10.69921875" customWidth="1"/>
    <col min="11" max="16" width="10.69921875" hidden="1" customWidth="1"/>
    <col min="17" max="20" width="10.69921875" customWidth="1"/>
  </cols>
  <sheetData>
    <row r="1" spans="1:21" ht="25" customHeight="1" x14ac:dyDescent="0.3">
      <c r="H1" s="81" t="s">
        <v>251</v>
      </c>
      <c r="I1" s="81"/>
      <c r="J1" s="81"/>
      <c r="K1" s="82" t="s">
        <v>250</v>
      </c>
      <c r="L1" s="83"/>
      <c r="M1" s="83"/>
      <c r="N1" s="83"/>
      <c r="O1" s="83"/>
      <c r="P1" s="84"/>
      <c r="Q1" s="81" t="s">
        <v>249</v>
      </c>
      <c r="R1" s="81"/>
      <c r="S1" s="81"/>
      <c r="T1" s="81"/>
    </row>
    <row r="2" spans="1:21" ht="25" customHeight="1" x14ac:dyDescent="0.3">
      <c r="A2" s="78" t="s">
        <v>0</v>
      </c>
      <c r="B2" s="78" t="s">
        <v>215</v>
      </c>
      <c r="C2" s="78" t="s">
        <v>214</v>
      </c>
      <c r="D2" s="78" t="s">
        <v>216</v>
      </c>
      <c r="E2" s="78" t="s">
        <v>214</v>
      </c>
      <c r="F2" s="78" t="s">
        <v>213</v>
      </c>
      <c r="G2" s="78" t="s">
        <v>214</v>
      </c>
      <c r="H2" s="78" t="s">
        <v>235</v>
      </c>
      <c r="I2" s="78" t="s">
        <v>238</v>
      </c>
      <c r="J2" s="78" t="s">
        <v>239</v>
      </c>
      <c r="K2" s="78" t="s">
        <v>242</v>
      </c>
      <c r="L2" s="78" t="s">
        <v>243</v>
      </c>
      <c r="M2" s="78" t="s">
        <v>244</v>
      </c>
      <c r="N2" s="78" t="s">
        <v>245</v>
      </c>
      <c r="O2" s="78" t="s">
        <v>246</v>
      </c>
      <c r="P2" s="80" t="s">
        <v>283</v>
      </c>
      <c r="Q2" s="78" t="s">
        <v>247</v>
      </c>
      <c r="R2" s="78" t="s">
        <v>245</v>
      </c>
      <c r="S2" s="78" t="s">
        <v>246</v>
      </c>
      <c r="T2" s="78" t="s">
        <v>248</v>
      </c>
    </row>
    <row r="3" spans="1:21" ht="25" customHeight="1" x14ac:dyDescent="0.3">
      <c r="A3" s="76">
        <v>1</v>
      </c>
      <c r="B3" s="77" t="s">
        <v>240</v>
      </c>
      <c r="C3" s="76">
        <v>0</v>
      </c>
      <c r="D3" s="77" t="s">
        <v>226</v>
      </c>
      <c r="E3" s="76">
        <v>1</v>
      </c>
      <c r="F3" s="77" t="s">
        <v>227</v>
      </c>
      <c r="G3" s="76">
        <v>1</v>
      </c>
      <c r="H3" s="76" t="s">
        <v>236</v>
      </c>
      <c r="I3" s="76" t="str">
        <f t="shared" ref="I3:I47" si="0">CONCATENATE("T_","0",C3,"_0",E3,"_0",G3)</f>
        <v>T_00_01_01</v>
      </c>
      <c r="J3" s="76">
        <v>1</v>
      </c>
      <c r="K3" s="76">
        <v>1</v>
      </c>
      <c r="L3" s="76">
        <v>1</v>
      </c>
      <c r="M3" s="76">
        <v>1</v>
      </c>
      <c r="N3" s="76">
        <v>1</v>
      </c>
      <c r="O3" s="76">
        <v>1</v>
      </c>
      <c r="P3" s="76">
        <v>0</v>
      </c>
      <c r="Q3" s="76">
        <v>1</v>
      </c>
      <c r="R3" s="76"/>
      <c r="S3" s="76"/>
      <c r="T3" s="76"/>
    </row>
    <row r="4" spans="1:21" ht="25" customHeight="1" x14ac:dyDescent="0.3">
      <c r="A4" s="76">
        <v>2</v>
      </c>
      <c r="B4" s="77" t="s">
        <v>240</v>
      </c>
      <c r="C4" s="76">
        <v>0</v>
      </c>
      <c r="D4" s="77" t="s">
        <v>228</v>
      </c>
      <c r="E4" s="76">
        <v>2</v>
      </c>
      <c r="F4" s="77" t="s">
        <v>230</v>
      </c>
      <c r="G4" s="76">
        <v>1</v>
      </c>
      <c r="H4" s="76" t="s">
        <v>236</v>
      </c>
      <c r="I4" s="76" t="str">
        <f t="shared" si="0"/>
        <v>T_00_02_01</v>
      </c>
      <c r="J4" s="76">
        <v>1</v>
      </c>
      <c r="K4" s="76">
        <v>1</v>
      </c>
      <c r="L4" s="76">
        <v>1</v>
      </c>
      <c r="M4" s="76">
        <v>1</v>
      </c>
      <c r="N4" s="76">
        <v>1</v>
      </c>
      <c r="O4" s="76">
        <v>1</v>
      </c>
      <c r="P4" s="76">
        <v>1</v>
      </c>
      <c r="Q4" s="76">
        <v>1</v>
      </c>
      <c r="R4" s="76"/>
      <c r="S4" s="76"/>
      <c r="T4" s="76"/>
    </row>
    <row r="5" spans="1:21" ht="25" customHeight="1" x14ac:dyDescent="0.3">
      <c r="A5" s="76">
        <v>3</v>
      </c>
      <c r="B5" s="77" t="s">
        <v>240</v>
      </c>
      <c r="C5" s="76">
        <v>0</v>
      </c>
      <c r="D5" s="77" t="s">
        <v>228</v>
      </c>
      <c r="E5" s="76">
        <v>2</v>
      </c>
      <c r="F5" s="77" t="s">
        <v>231</v>
      </c>
      <c r="G5" s="76">
        <v>2</v>
      </c>
      <c r="H5" s="76" t="s">
        <v>236</v>
      </c>
      <c r="I5" s="76" t="str">
        <f t="shared" si="0"/>
        <v>T_00_02_02</v>
      </c>
      <c r="J5" s="76">
        <v>1</v>
      </c>
      <c r="K5" s="76">
        <v>1</v>
      </c>
      <c r="L5" s="76">
        <v>1</v>
      </c>
      <c r="M5" s="76">
        <v>1</v>
      </c>
      <c r="N5" s="76">
        <v>1</v>
      </c>
      <c r="O5" s="76">
        <v>1</v>
      </c>
      <c r="P5" s="76">
        <v>1</v>
      </c>
      <c r="Q5" s="76">
        <v>1</v>
      </c>
      <c r="R5" s="76"/>
      <c r="S5" s="76"/>
      <c r="T5" s="76"/>
    </row>
    <row r="6" spans="1:21" ht="25" customHeight="1" x14ac:dyDescent="0.3">
      <c r="A6" s="76">
        <v>4</v>
      </c>
      <c r="B6" s="77" t="s">
        <v>240</v>
      </c>
      <c r="C6" s="76">
        <v>0</v>
      </c>
      <c r="D6" s="77" t="s">
        <v>228</v>
      </c>
      <c r="E6" s="76">
        <v>2</v>
      </c>
      <c r="F6" s="77" t="s">
        <v>232</v>
      </c>
      <c r="G6" s="76">
        <v>3</v>
      </c>
      <c r="H6" s="76" t="s">
        <v>236</v>
      </c>
      <c r="I6" s="76" t="str">
        <f t="shared" si="0"/>
        <v>T_00_02_03</v>
      </c>
      <c r="J6" s="76">
        <v>1</v>
      </c>
      <c r="K6" s="76">
        <v>1</v>
      </c>
      <c r="L6" s="76">
        <v>1</v>
      </c>
      <c r="M6" s="76">
        <v>1</v>
      </c>
      <c r="N6" s="76">
        <v>1</v>
      </c>
      <c r="O6" s="76">
        <v>1</v>
      </c>
      <c r="P6" s="76">
        <v>1</v>
      </c>
      <c r="Q6" s="76">
        <v>1</v>
      </c>
      <c r="R6" s="76"/>
      <c r="S6" s="76"/>
      <c r="T6" s="76"/>
    </row>
    <row r="7" spans="1:21" ht="25" customHeight="1" x14ac:dyDescent="0.3">
      <c r="A7" s="76">
        <v>5</v>
      </c>
      <c r="B7" s="77" t="s">
        <v>240</v>
      </c>
      <c r="C7" s="76">
        <v>0</v>
      </c>
      <c r="D7" s="77" t="s">
        <v>228</v>
      </c>
      <c r="E7" s="76">
        <v>2</v>
      </c>
      <c r="F7" s="77" t="s">
        <v>233</v>
      </c>
      <c r="G7" s="76">
        <v>4</v>
      </c>
      <c r="H7" s="76" t="s">
        <v>237</v>
      </c>
      <c r="I7" s="76" t="str">
        <f t="shared" si="0"/>
        <v>T_00_02_04</v>
      </c>
      <c r="J7" s="76">
        <v>1</v>
      </c>
      <c r="K7" s="76">
        <v>1</v>
      </c>
      <c r="L7" s="76">
        <v>1</v>
      </c>
      <c r="M7" s="76">
        <v>1</v>
      </c>
      <c r="N7" s="76">
        <v>1</v>
      </c>
      <c r="O7" s="76">
        <v>1</v>
      </c>
      <c r="P7" s="76">
        <v>1</v>
      </c>
      <c r="Q7" s="76">
        <v>1</v>
      </c>
      <c r="R7" s="76"/>
      <c r="S7" s="76"/>
      <c r="T7" s="76"/>
    </row>
    <row r="8" spans="1:21" ht="25" customHeight="1" x14ac:dyDescent="0.3">
      <c r="A8" s="76">
        <v>6</v>
      </c>
      <c r="B8" s="77" t="s">
        <v>240</v>
      </c>
      <c r="C8" s="76">
        <v>0</v>
      </c>
      <c r="D8" s="77" t="s">
        <v>228</v>
      </c>
      <c r="E8" s="76">
        <v>2</v>
      </c>
      <c r="F8" s="77" t="s">
        <v>234</v>
      </c>
      <c r="G8" s="76">
        <v>5</v>
      </c>
      <c r="H8" s="76" t="s">
        <v>237</v>
      </c>
      <c r="I8" s="76" t="str">
        <f t="shared" si="0"/>
        <v>T_00_02_05</v>
      </c>
      <c r="J8" s="76">
        <v>1</v>
      </c>
      <c r="K8" s="76">
        <v>1</v>
      </c>
      <c r="L8" s="76">
        <v>1</v>
      </c>
      <c r="M8" s="76">
        <v>1</v>
      </c>
      <c r="N8" s="76">
        <v>1</v>
      </c>
      <c r="O8" s="76">
        <v>1</v>
      </c>
      <c r="P8" s="76">
        <v>1</v>
      </c>
      <c r="Q8" s="76">
        <v>1</v>
      </c>
      <c r="R8" s="76"/>
      <c r="S8" s="76"/>
      <c r="T8" s="76"/>
    </row>
    <row r="9" spans="1:21" ht="25" customHeight="1" x14ac:dyDescent="0.3">
      <c r="A9" s="76">
        <v>7</v>
      </c>
      <c r="B9" s="77" t="s">
        <v>240</v>
      </c>
      <c r="C9" s="76">
        <v>0</v>
      </c>
      <c r="D9" s="77" t="s">
        <v>229</v>
      </c>
      <c r="E9" s="76">
        <v>3</v>
      </c>
      <c r="F9" s="79" t="s">
        <v>282</v>
      </c>
      <c r="G9" s="76">
        <v>1</v>
      </c>
      <c r="H9" s="76" t="s">
        <v>236</v>
      </c>
      <c r="I9" s="76" t="str">
        <f t="shared" si="0"/>
        <v>T_00_03_01</v>
      </c>
      <c r="J9" s="76">
        <v>1</v>
      </c>
      <c r="K9" s="76">
        <v>1</v>
      </c>
      <c r="L9" s="76">
        <v>1</v>
      </c>
      <c r="M9" s="76">
        <v>1</v>
      </c>
      <c r="N9" s="76">
        <v>1</v>
      </c>
      <c r="O9" s="76">
        <v>1</v>
      </c>
      <c r="P9" s="76">
        <v>0</v>
      </c>
      <c r="Q9" s="76">
        <v>0</v>
      </c>
      <c r="R9" s="76"/>
      <c r="S9" s="76"/>
      <c r="T9" s="76"/>
    </row>
    <row r="10" spans="1:21" ht="25" customHeight="1" x14ac:dyDescent="0.3">
      <c r="A10" s="76">
        <v>8</v>
      </c>
      <c r="B10" s="77" t="s">
        <v>240</v>
      </c>
      <c r="C10" s="76">
        <v>0</v>
      </c>
      <c r="D10" s="77" t="s">
        <v>252</v>
      </c>
      <c r="E10" s="76">
        <v>4</v>
      </c>
      <c r="F10" s="79" t="s">
        <v>253</v>
      </c>
      <c r="G10" s="76">
        <v>1</v>
      </c>
      <c r="H10" s="76" t="s">
        <v>236</v>
      </c>
      <c r="I10" s="76" t="str">
        <f t="shared" si="0"/>
        <v>T_00_04_01</v>
      </c>
      <c r="J10" s="76">
        <v>1</v>
      </c>
      <c r="K10" s="76">
        <v>1</v>
      </c>
      <c r="L10" s="76">
        <v>1</v>
      </c>
      <c r="M10" s="76">
        <v>1</v>
      </c>
      <c r="N10" s="76">
        <v>1</v>
      </c>
      <c r="O10" s="76">
        <v>1</v>
      </c>
      <c r="P10" s="76">
        <v>0</v>
      </c>
      <c r="Q10" s="76">
        <v>0</v>
      </c>
      <c r="R10" s="76"/>
      <c r="S10" s="76"/>
      <c r="T10" s="76"/>
    </row>
    <row r="11" spans="1:21" ht="25" customHeight="1" x14ac:dyDescent="0.3">
      <c r="A11" s="76">
        <v>9</v>
      </c>
      <c r="B11" s="77" t="s">
        <v>291</v>
      </c>
      <c r="C11" s="76">
        <v>1</v>
      </c>
      <c r="D11" s="77" t="s">
        <v>280</v>
      </c>
      <c r="E11" s="76">
        <v>1</v>
      </c>
      <c r="F11" s="77" t="s">
        <v>222</v>
      </c>
      <c r="G11" s="76">
        <v>1</v>
      </c>
      <c r="H11" s="76" t="s">
        <v>237</v>
      </c>
      <c r="I11" s="76" t="str">
        <f t="shared" si="0"/>
        <v>T_01_01_01</v>
      </c>
      <c r="J11" s="76">
        <v>1</v>
      </c>
      <c r="K11" s="76">
        <v>1</v>
      </c>
      <c r="L11" s="76">
        <v>1</v>
      </c>
      <c r="M11" s="76">
        <v>1</v>
      </c>
      <c r="N11" s="76">
        <v>1</v>
      </c>
      <c r="O11" s="76">
        <v>1</v>
      </c>
      <c r="P11" s="76">
        <v>1</v>
      </c>
      <c r="Q11" s="76">
        <v>1</v>
      </c>
      <c r="R11" s="76"/>
      <c r="S11" s="76"/>
      <c r="T11" s="76"/>
    </row>
    <row r="12" spans="1:21" ht="25" customHeight="1" x14ac:dyDescent="0.3">
      <c r="A12" s="76">
        <v>10</v>
      </c>
      <c r="B12" s="77" t="s">
        <v>291</v>
      </c>
      <c r="C12" s="76">
        <v>1</v>
      </c>
      <c r="D12" s="77" t="s">
        <v>290</v>
      </c>
      <c r="E12" s="76">
        <v>2</v>
      </c>
      <c r="F12" s="77" t="s">
        <v>255</v>
      </c>
      <c r="G12" s="76">
        <v>1</v>
      </c>
      <c r="H12" s="76" t="s">
        <v>237</v>
      </c>
      <c r="I12" s="76" t="str">
        <f>CONCATENATE("T_","0",C12,"_0",E12,"_0",G12)</f>
        <v>T_01_02_01</v>
      </c>
      <c r="J12" s="76">
        <v>1</v>
      </c>
      <c r="K12" s="76">
        <v>1</v>
      </c>
      <c r="L12" s="76">
        <v>1</v>
      </c>
      <c r="M12" s="76">
        <v>1</v>
      </c>
      <c r="N12" s="76">
        <v>1</v>
      </c>
      <c r="O12" s="76">
        <v>1</v>
      </c>
      <c r="P12" s="76">
        <v>1</v>
      </c>
      <c r="Q12" s="76">
        <v>1</v>
      </c>
      <c r="R12" s="76"/>
      <c r="S12" s="76"/>
      <c r="T12" s="76"/>
    </row>
    <row r="13" spans="1:21" ht="25" customHeight="1" x14ac:dyDescent="0.3">
      <c r="A13" s="76">
        <v>11</v>
      </c>
      <c r="B13" s="77" t="s">
        <v>291</v>
      </c>
      <c r="C13" s="76">
        <v>1</v>
      </c>
      <c r="D13" s="77" t="s">
        <v>290</v>
      </c>
      <c r="E13" s="76">
        <v>2</v>
      </c>
      <c r="F13" s="77" t="s">
        <v>218</v>
      </c>
      <c r="G13" s="76">
        <v>2</v>
      </c>
      <c r="H13" s="76" t="s">
        <v>237</v>
      </c>
      <c r="I13" s="76" t="str">
        <f t="shared" si="0"/>
        <v>T_01_02_02</v>
      </c>
      <c r="J13" s="76">
        <v>1</v>
      </c>
      <c r="K13" s="76">
        <v>1</v>
      </c>
      <c r="L13" s="76">
        <v>1</v>
      </c>
      <c r="M13" s="76">
        <v>1</v>
      </c>
      <c r="N13" s="76">
        <v>1</v>
      </c>
      <c r="O13" s="76">
        <v>1</v>
      </c>
      <c r="P13" s="76">
        <v>1</v>
      </c>
      <c r="Q13" s="76">
        <v>1</v>
      </c>
      <c r="R13" s="76"/>
      <c r="S13" s="76"/>
      <c r="T13" s="76"/>
    </row>
    <row r="14" spans="1:21" ht="25" customHeight="1" x14ac:dyDescent="0.3">
      <c r="A14" s="76">
        <v>12</v>
      </c>
      <c r="B14" s="77" t="s">
        <v>291</v>
      </c>
      <c r="C14" s="76">
        <v>1</v>
      </c>
      <c r="D14" s="77" t="s">
        <v>290</v>
      </c>
      <c r="E14" s="76">
        <v>2</v>
      </c>
      <c r="F14" s="77" t="s">
        <v>219</v>
      </c>
      <c r="G14" s="76">
        <v>3</v>
      </c>
      <c r="H14" s="76" t="s">
        <v>237</v>
      </c>
      <c r="I14" s="76" t="str">
        <f t="shared" si="0"/>
        <v>T_01_02_03</v>
      </c>
      <c r="J14" s="76">
        <v>1</v>
      </c>
      <c r="K14" s="76">
        <v>1</v>
      </c>
      <c r="L14" s="76">
        <v>1</v>
      </c>
      <c r="M14" s="76">
        <v>1</v>
      </c>
      <c r="N14" s="76">
        <v>1</v>
      </c>
      <c r="O14" s="76">
        <v>1</v>
      </c>
      <c r="P14" s="76">
        <v>1</v>
      </c>
      <c r="Q14" s="76">
        <v>1</v>
      </c>
      <c r="R14" s="76"/>
      <c r="S14" s="76"/>
      <c r="T14" s="76"/>
    </row>
    <row r="15" spans="1:21" ht="25" customHeight="1" x14ac:dyDescent="0.3">
      <c r="A15" s="76">
        <v>13</v>
      </c>
      <c r="B15" s="77" t="s">
        <v>291</v>
      </c>
      <c r="C15" s="76">
        <v>1</v>
      </c>
      <c r="D15" s="77" t="s">
        <v>290</v>
      </c>
      <c r="E15" s="76">
        <v>2</v>
      </c>
      <c r="F15" s="77" t="s">
        <v>220</v>
      </c>
      <c r="G15" s="76">
        <v>4</v>
      </c>
      <c r="H15" s="76" t="s">
        <v>237</v>
      </c>
      <c r="I15" s="76" t="str">
        <f t="shared" si="0"/>
        <v>T_01_02_04</v>
      </c>
      <c r="J15" s="76">
        <v>1</v>
      </c>
      <c r="K15" s="76">
        <v>1</v>
      </c>
      <c r="L15" s="76">
        <v>1</v>
      </c>
      <c r="M15" s="76">
        <v>1</v>
      </c>
      <c r="N15" s="76">
        <v>1</v>
      </c>
      <c r="O15" s="76">
        <v>1</v>
      </c>
      <c r="P15" s="76">
        <v>1</v>
      </c>
      <c r="Q15" s="76">
        <v>1</v>
      </c>
      <c r="R15" s="76"/>
      <c r="S15" s="76"/>
      <c r="T15" s="76"/>
    </row>
    <row r="16" spans="1:21" ht="25" customHeight="1" x14ac:dyDescent="0.3">
      <c r="A16" s="76">
        <v>14</v>
      </c>
      <c r="B16" s="77" t="s">
        <v>291</v>
      </c>
      <c r="C16" s="76">
        <v>1</v>
      </c>
      <c r="D16" s="77" t="s">
        <v>290</v>
      </c>
      <c r="E16" s="76">
        <v>2</v>
      </c>
      <c r="F16" s="77" t="s">
        <v>256</v>
      </c>
      <c r="G16" s="76">
        <v>5</v>
      </c>
      <c r="H16" s="76" t="s">
        <v>236</v>
      </c>
      <c r="I16" s="76" t="str">
        <f t="shared" si="0"/>
        <v>T_01_02_05</v>
      </c>
      <c r="J16" s="76">
        <v>1</v>
      </c>
      <c r="K16" s="76">
        <v>1</v>
      </c>
      <c r="L16" s="76">
        <v>1</v>
      </c>
      <c r="M16" s="76">
        <v>1</v>
      </c>
      <c r="N16" s="76">
        <v>1</v>
      </c>
      <c r="O16" s="76">
        <v>1</v>
      </c>
      <c r="P16" s="76">
        <v>1</v>
      </c>
      <c r="Q16" s="76">
        <v>1</v>
      </c>
      <c r="R16" s="76"/>
      <c r="S16" s="76"/>
      <c r="T16" s="76"/>
      <c r="U16" t="s">
        <v>273</v>
      </c>
    </row>
    <row r="17" spans="1:21" ht="25" customHeight="1" x14ac:dyDescent="0.3">
      <c r="A17" s="76">
        <v>17</v>
      </c>
      <c r="B17" s="77" t="s">
        <v>291</v>
      </c>
      <c r="C17" s="76">
        <v>1</v>
      </c>
      <c r="D17" s="77" t="s">
        <v>289</v>
      </c>
      <c r="E17" s="76">
        <v>3</v>
      </c>
      <c r="F17" s="77" t="s">
        <v>221</v>
      </c>
      <c r="G17" s="76">
        <v>1</v>
      </c>
      <c r="H17" s="76" t="s">
        <v>236</v>
      </c>
      <c r="I17" s="76" t="str">
        <f t="shared" si="0"/>
        <v>T_01_03_01</v>
      </c>
      <c r="J17" s="76">
        <v>1</v>
      </c>
      <c r="K17" s="76">
        <v>1</v>
      </c>
      <c r="L17" s="76">
        <v>1</v>
      </c>
      <c r="M17" s="76">
        <v>1</v>
      </c>
      <c r="N17" s="76">
        <v>1</v>
      </c>
      <c r="O17" s="76">
        <v>1</v>
      </c>
      <c r="P17" s="76">
        <v>1</v>
      </c>
      <c r="Q17" s="76"/>
      <c r="R17" s="76"/>
      <c r="S17" s="76"/>
      <c r="T17" s="76"/>
      <c r="U17" t="s">
        <v>272</v>
      </c>
    </row>
    <row r="18" spans="1:21" ht="25" customHeight="1" x14ac:dyDescent="0.3">
      <c r="A18" s="76">
        <v>18</v>
      </c>
      <c r="B18" s="77" t="s">
        <v>291</v>
      </c>
      <c r="C18" s="76">
        <v>1</v>
      </c>
      <c r="D18" s="77" t="s">
        <v>289</v>
      </c>
      <c r="E18" s="76">
        <v>3</v>
      </c>
      <c r="F18" s="77" t="s">
        <v>223</v>
      </c>
      <c r="G18" s="76">
        <v>2</v>
      </c>
      <c r="H18" s="76" t="s">
        <v>236</v>
      </c>
      <c r="I18" s="76" t="str">
        <f t="shared" si="0"/>
        <v>T_01_03_02</v>
      </c>
      <c r="J18" s="76">
        <v>1</v>
      </c>
      <c r="K18" s="76">
        <v>1</v>
      </c>
      <c r="L18" s="76">
        <v>1</v>
      </c>
      <c r="M18" s="76">
        <v>1</v>
      </c>
      <c r="N18" s="76">
        <v>1</v>
      </c>
      <c r="O18" s="76">
        <v>1</v>
      </c>
      <c r="P18" s="76">
        <v>1</v>
      </c>
      <c r="Q18" s="76"/>
      <c r="R18" s="76"/>
      <c r="S18" s="76"/>
      <c r="T18" s="76"/>
    </row>
    <row r="19" spans="1:21" ht="25" customHeight="1" x14ac:dyDescent="0.3">
      <c r="A19" s="76">
        <v>19</v>
      </c>
      <c r="B19" s="77" t="s">
        <v>291</v>
      </c>
      <c r="C19" s="76">
        <v>1</v>
      </c>
      <c r="D19" s="77" t="s">
        <v>289</v>
      </c>
      <c r="E19" s="76">
        <v>3</v>
      </c>
      <c r="F19" s="77" t="s">
        <v>225</v>
      </c>
      <c r="G19" s="76">
        <v>3</v>
      </c>
      <c r="H19" s="76" t="s">
        <v>236</v>
      </c>
      <c r="I19" s="76" t="str">
        <f t="shared" si="0"/>
        <v>T_01_03_03</v>
      </c>
      <c r="J19" s="76">
        <v>1</v>
      </c>
      <c r="K19" s="76">
        <v>1</v>
      </c>
      <c r="L19" s="76">
        <v>1</v>
      </c>
      <c r="M19" s="76">
        <v>1</v>
      </c>
      <c r="N19" s="76">
        <v>1</v>
      </c>
      <c r="O19" s="76">
        <v>1</v>
      </c>
      <c r="P19" s="76">
        <v>1</v>
      </c>
      <c r="Q19" s="76"/>
      <c r="R19" s="76"/>
      <c r="S19" s="76"/>
      <c r="T19" s="76"/>
    </row>
    <row r="20" spans="1:21" ht="25" customHeight="1" x14ac:dyDescent="0.3">
      <c r="A20" s="76">
        <v>20</v>
      </c>
      <c r="B20" s="77" t="s">
        <v>291</v>
      </c>
      <c r="C20" s="76">
        <v>1</v>
      </c>
      <c r="D20" s="77" t="s">
        <v>289</v>
      </c>
      <c r="E20" s="76">
        <v>3</v>
      </c>
      <c r="F20" s="79" t="s">
        <v>224</v>
      </c>
      <c r="G20" s="76">
        <v>4</v>
      </c>
      <c r="H20" s="76" t="s">
        <v>236</v>
      </c>
      <c r="I20" s="76" t="str">
        <f t="shared" si="0"/>
        <v>T_01_03_04</v>
      </c>
      <c r="J20" s="76">
        <v>1</v>
      </c>
      <c r="K20" s="76">
        <v>1</v>
      </c>
      <c r="L20" s="76">
        <v>1</v>
      </c>
      <c r="M20" s="76">
        <v>1</v>
      </c>
      <c r="N20" s="76">
        <v>1</v>
      </c>
      <c r="O20" s="76">
        <v>1</v>
      </c>
      <c r="P20" s="76">
        <v>1</v>
      </c>
      <c r="Q20" s="76"/>
      <c r="R20" s="76"/>
      <c r="S20" s="76"/>
      <c r="T20" s="76"/>
    </row>
    <row r="21" spans="1:21" ht="25" customHeight="1" x14ac:dyDescent="0.3">
      <c r="A21" s="76">
        <v>21</v>
      </c>
      <c r="B21" s="77" t="s">
        <v>254</v>
      </c>
      <c r="C21" s="76">
        <v>2</v>
      </c>
      <c r="D21" s="77" t="s">
        <v>280</v>
      </c>
      <c r="E21" s="76">
        <v>1</v>
      </c>
      <c r="F21" s="77" t="s">
        <v>274</v>
      </c>
      <c r="G21" s="76">
        <v>1</v>
      </c>
      <c r="H21" s="76" t="s">
        <v>237</v>
      </c>
      <c r="I21" s="76" t="str">
        <f t="shared" si="0"/>
        <v>T_02_01_01</v>
      </c>
      <c r="J21" s="76">
        <v>1</v>
      </c>
      <c r="K21" s="76">
        <v>1</v>
      </c>
      <c r="L21" s="76">
        <v>1</v>
      </c>
      <c r="M21" s="76">
        <v>1</v>
      </c>
      <c r="N21" s="76">
        <v>1</v>
      </c>
      <c r="O21" s="76">
        <v>1</v>
      </c>
      <c r="P21" s="76">
        <v>1</v>
      </c>
      <c r="Q21" s="76"/>
      <c r="R21" s="76"/>
      <c r="S21" s="76"/>
      <c r="T21" s="76"/>
    </row>
    <row r="22" spans="1:21" ht="25" customHeight="1" x14ac:dyDescent="0.3">
      <c r="A22" s="76">
        <v>22</v>
      </c>
      <c r="B22" s="77" t="s">
        <v>254</v>
      </c>
      <c r="C22" s="76">
        <v>2</v>
      </c>
      <c r="D22" s="77" t="s">
        <v>280</v>
      </c>
      <c r="E22" s="76">
        <v>1</v>
      </c>
      <c r="F22" s="77" t="s">
        <v>279</v>
      </c>
      <c r="G22" s="76">
        <v>2</v>
      </c>
      <c r="H22" s="76" t="s">
        <v>237</v>
      </c>
      <c r="I22" s="76" t="str">
        <f t="shared" si="0"/>
        <v>T_02_01_02</v>
      </c>
      <c r="J22" s="76">
        <v>1</v>
      </c>
      <c r="K22" s="76">
        <v>1</v>
      </c>
      <c r="L22" s="76">
        <v>1</v>
      </c>
      <c r="M22" s="76">
        <v>1</v>
      </c>
      <c r="N22" s="76">
        <v>1</v>
      </c>
      <c r="O22" s="76">
        <v>1</v>
      </c>
      <c r="P22" s="76">
        <v>1</v>
      </c>
      <c r="Q22" s="76"/>
      <c r="R22" s="76"/>
      <c r="S22" s="76"/>
      <c r="T22" s="76"/>
    </row>
    <row r="23" spans="1:21" ht="25" customHeight="1" x14ac:dyDescent="0.3">
      <c r="A23" s="76">
        <v>23</v>
      </c>
      <c r="B23" s="77" t="s">
        <v>254</v>
      </c>
      <c r="C23" s="76">
        <v>2</v>
      </c>
      <c r="D23" s="77" t="s">
        <v>280</v>
      </c>
      <c r="E23" s="76">
        <v>1</v>
      </c>
      <c r="F23" s="77" t="s">
        <v>275</v>
      </c>
      <c r="G23" s="76">
        <v>3</v>
      </c>
      <c r="H23" s="76" t="s">
        <v>237</v>
      </c>
      <c r="I23" s="76" t="str">
        <f t="shared" si="0"/>
        <v>T_02_01_03</v>
      </c>
      <c r="J23" s="76">
        <v>1</v>
      </c>
      <c r="K23" s="76">
        <v>1</v>
      </c>
      <c r="L23" s="76">
        <v>1</v>
      </c>
      <c r="M23" s="76">
        <v>1</v>
      </c>
      <c r="N23" s="76">
        <v>1</v>
      </c>
      <c r="O23" s="76">
        <v>1</v>
      </c>
      <c r="P23" s="76">
        <v>1</v>
      </c>
      <c r="Q23" s="76"/>
      <c r="R23" s="76"/>
      <c r="S23" s="76"/>
      <c r="T23" s="76"/>
    </row>
    <row r="24" spans="1:21" ht="25" customHeight="1" x14ac:dyDescent="0.3">
      <c r="A24" s="76">
        <v>24</v>
      </c>
      <c r="B24" s="77" t="s">
        <v>254</v>
      </c>
      <c r="C24" s="76">
        <v>2</v>
      </c>
      <c r="D24" s="77" t="s">
        <v>280</v>
      </c>
      <c r="E24" s="76">
        <v>1</v>
      </c>
      <c r="F24" s="77" t="s">
        <v>260</v>
      </c>
      <c r="G24" s="76">
        <v>4</v>
      </c>
      <c r="H24" s="76" t="s">
        <v>237</v>
      </c>
      <c r="I24" s="76" t="str">
        <f t="shared" si="0"/>
        <v>T_02_01_04</v>
      </c>
      <c r="J24" s="76">
        <v>1</v>
      </c>
      <c r="K24" s="76">
        <v>1</v>
      </c>
      <c r="L24" s="76">
        <v>1</v>
      </c>
      <c r="M24" s="76">
        <v>1</v>
      </c>
      <c r="N24" s="76">
        <v>1</v>
      </c>
      <c r="O24" s="76">
        <v>1</v>
      </c>
      <c r="P24" s="76">
        <v>1</v>
      </c>
      <c r="Q24" s="76"/>
      <c r="R24" s="76"/>
      <c r="S24" s="76"/>
      <c r="T24" s="76"/>
    </row>
    <row r="25" spans="1:21" ht="25" customHeight="1" x14ac:dyDescent="0.3">
      <c r="A25" s="76">
        <v>25</v>
      </c>
      <c r="B25" s="77" t="s">
        <v>254</v>
      </c>
      <c r="C25" s="76">
        <v>2</v>
      </c>
      <c r="D25" s="77" t="s">
        <v>280</v>
      </c>
      <c r="E25" s="76">
        <v>1</v>
      </c>
      <c r="F25" s="77" t="s">
        <v>276</v>
      </c>
      <c r="G25" s="76">
        <v>5</v>
      </c>
      <c r="H25" s="76" t="s">
        <v>237</v>
      </c>
      <c r="I25" s="76" t="str">
        <f t="shared" si="0"/>
        <v>T_02_01_05</v>
      </c>
      <c r="J25" s="76">
        <v>1</v>
      </c>
      <c r="K25" s="76">
        <v>1</v>
      </c>
      <c r="L25" s="76">
        <v>1</v>
      </c>
      <c r="M25" s="76">
        <v>1</v>
      </c>
      <c r="N25" s="76">
        <v>1</v>
      </c>
      <c r="O25" s="76">
        <v>1</v>
      </c>
      <c r="P25" s="76">
        <v>1</v>
      </c>
      <c r="Q25" s="76"/>
      <c r="R25" s="76"/>
      <c r="S25" s="76"/>
      <c r="T25" s="76"/>
    </row>
    <row r="26" spans="1:21" ht="25" customHeight="1" x14ac:dyDescent="0.3">
      <c r="A26" s="76">
        <v>26</v>
      </c>
      <c r="B26" s="77" t="s">
        <v>254</v>
      </c>
      <c r="C26" s="76">
        <v>2</v>
      </c>
      <c r="D26" s="77" t="s">
        <v>280</v>
      </c>
      <c r="E26" s="76">
        <v>1</v>
      </c>
      <c r="F26" s="77" t="s">
        <v>277</v>
      </c>
      <c r="G26" s="76">
        <v>6</v>
      </c>
      <c r="H26" s="76" t="s">
        <v>237</v>
      </c>
      <c r="I26" s="76" t="str">
        <f t="shared" si="0"/>
        <v>T_02_01_06</v>
      </c>
      <c r="J26" s="76">
        <v>1</v>
      </c>
      <c r="K26" s="76">
        <v>1</v>
      </c>
      <c r="L26" s="76">
        <v>1</v>
      </c>
      <c r="M26" s="76">
        <v>1</v>
      </c>
      <c r="N26" s="76">
        <v>1</v>
      </c>
      <c r="O26" s="76">
        <v>1</v>
      </c>
      <c r="P26" s="76">
        <v>1</v>
      </c>
      <c r="Q26" s="76"/>
      <c r="R26" s="76"/>
      <c r="S26" s="76"/>
      <c r="T26" s="76"/>
    </row>
    <row r="27" spans="1:21" ht="25" customHeight="1" x14ac:dyDescent="0.3">
      <c r="A27" s="76">
        <v>27</v>
      </c>
      <c r="B27" s="77" t="s">
        <v>254</v>
      </c>
      <c r="C27" s="76">
        <v>2</v>
      </c>
      <c r="D27" s="77" t="s">
        <v>280</v>
      </c>
      <c r="E27" s="76">
        <v>1</v>
      </c>
      <c r="F27" s="77" t="s">
        <v>278</v>
      </c>
      <c r="G27" s="76">
        <v>7</v>
      </c>
      <c r="H27" s="76" t="s">
        <v>237</v>
      </c>
      <c r="I27" s="76" t="str">
        <f t="shared" si="0"/>
        <v>T_02_01_07</v>
      </c>
      <c r="J27" s="76">
        <v>1</v>
      </c>
      <c r="K27" s="76">
        <v>1</v>
      </c>
      <c r="L27" s="76">
        <v>1</v>
      </c>
      <c r="M27" s="76">
        <v>1</v>
      </c>
      <c r="N27" s="76">
        <v>1</v>
      </c>
      <c r="O27" s="76">
        <v>1</v>
      </c>
      <c r="P27" s="76">
        <v>1</v>
      </c>
      <c r="Q27" s="76"/>
      <c r="R27" s="76"/>
      <c r="S27" s="76"/>
      <c r="T27" s="76"/>
    </row>
    <row r="28" spans="1:21" ht="25" customHeight="1" x14ac:dyDescent="0.3">
      <c r="A28" s="76">
        <v>28</v>
      </c>
      <c r="B28" s="77" t="s">
        <v>254</v>
      </c>
      <c r="C28" s="76">
        <v>2</v>
      </c>
      <c r="D28" s="77" t="s">
        <v>280</v>
      </c>
      <c r="E28" s="76">
        <v>1</v>
      </c>
      <c r="F28" s="77" t="s">
        <v>261</v>
      </c>
      <c r="G28" s="76">
        <v>8</v>
      </c>
      <c r="H28" s="76" t="s">
        <v>237</v>
      </c>
      <c r="I28" s="76" t="str">
        <f t="shared" si="0"/>
        <v>T_02_01_08</v>
      </c>
      <c r="J28" s="76">
        <v>1</v>
      </c>
      <c r="K28" s="76">
        <v>1</v>
      </c>
      <c r="L28" s="76">
        <v>1</v>
      </c>
      <c r="M28" s="76">
        <v>1</v>
      </c>
      <c r="N28" s="76">
        <v>1</v>
      </c>
      <c r="O28" s="76">
        <v>1</v>
      </c>
      <c r="P28" s="76">
        <v>1</v>
      </c>
      <c r="Q28" s="76"/>
      <c r="R28" s="76"/>
      <c r="S28" s="76"/>
      <c r="T28" s="76"/>
    </row>
    <row r="29" spans="1:21" ht="25" customHeight="1" x14ac:dyDescent="0.3">
      <c r="A29" s="76">
        <v>29</v>
      </c>
      <c r="B29" s="77" t="s">
        <v>254</v>
      </c>
      <c r="C29" s="76">
        <v>2</v>
      </c>
      <c r="D29" s="77" t="s">
        <v>217</v>
      </c>
      <c r="E29" s="76">
        <v>2</v>
      </c>
      <c r="F29" s="77" t="s">
        <v>257</v>
      </c>
      <c r="G29" s="76">
        <v>1</v>
      </c>
      <c r="H29" s="76" t="s">
        <v>236</v>
      </c>
      <c r="I29" s="76" t="str">
        <f t="shared" si="0"/>
        <v>T_02_02_01</v>
      </c>
      <c r="J29" s="76">
        <v>1</v>
      </c>
      <c r="K29" s="76">
        <v>1</v>
      </c>
      <c r="L29" s="76">
        <v>1</v>
      </c>
      <c r="M29" s="76">
        <v>1</v>
      </c>
      <c r="N29" s="76">
        <v>1</v>
      </c>
      <c r="O29" s="76">
        <v>1</v>
      </c>
      <c r="P29" s="76">
        <v>1</v>
      </c>
      <c r="Q29" s="76"/>
      <c r="R29" s="76"/>
      <c r="S29" s="76"/>
      <c r="T29" s="76"/>
    </row>
    <row r="30" spans="1:21" ht="25" customHeight="1" x14ac:dyDescent="0.3">
      <c r="A30" s="76">
        <v>30</v>
      </c>
      <c r="B30" s="77" t="s">
        <v>254</v>
      </c>
      <c r="C30" s="76">
        <v>2</v>
      </c>
      <c r="D30" s="77" t="s">
        <v>217</v>
      </c>
      <c r="E30" s="76">
        <v>2</v>
      </c>
      <c r="F30" s="77" t="s">
        <v>258</v>
      </c>
      <c r="G30" s="76">
        <v>2</v>
      </c>
      <c r="H30" s="76" t="s">
        <v>237</v>
      </c>
      <c r="I30" s="76" t="str">
        <f t="shared" si="0"/>
        <v>T_02_02_02</v>
      </c>
      <c r="J30" s="76">
        <v>1</v>
      </c>
      <c r="K30" s="76">
        <v>1</v>
      </c>
      <c r="L30" s="76">
        <v>1</v>
      </c>
      <c r="M30" s="76">
        <v>1</v>
      </c>
      <c r="N30" s="76">
        <v>1</v>
      </c>
      <c r="O30" s="76">
        <v>1</v>
      </c>
      <c r="P30" s="76">
        <v>1</v>
      </c>
      <c r="Q30" s="76"/>
      <c r="R30" s="76"/>
      <c r="S30" s="76"/>
      <c r="T30" s="76"/>
    </row>
    <row r="31" spans="1:21" ht="25" customHeight="1" x14ac:dyDescent="0.3">
      <c r="A31" s="76">
        <v>31</v>
      </c>
      <c r="B31" s="77" t="s">
        <v>254</v>
      </c>
      <c r="C31" s="76">
        <v>2</v>
      </c>
      <c r="D31" s="77" t="s">
        <v>217</v>
      </c>
      <c r="E31" s="76">
        <v>2</v>
      </c>
      <c r="F31" s="77" t="s">
        <v>259</v>
      </c>
      <c r="G31" s="76">
        <v>3</v>
      </c>
      <c r="H31" s="76" t="s">
        <v>237</v>
      </c>
      <c r="I31" s="76" t="str">
        <f t="shared" si="0"/>
        <v>T_02_02_03</v>
      </c>
      <c r="J31" s="76">
        <v>1</v>
      </c>
      <c r="K31" s="76">
        <v>1</v>
      </c>
      <c r="L31" s="76">
        <v>1</v>
      </c>
      <c r="M31" s="76">
        <v>1</v>
      </c>
      <c r="N31" s="76">
        <v>1</v>
      </c>
      <c r="O31" s="76">
        <v>1</v>
      </c>
      <c r="P31" s="76">
        <v>1</v>
      </c>
      <c r="Q31" s="76"/>
      <c r="R31" s="76"/>
      <c r="S31" s="76"/>
      <c r="T31" s="76"/>
    </row>
    <row r="32" spans="1:21" ht="25" customHeight="1" x14ac:dyDescent="0.3">
      <c r="A32" s="76">
        <v>32</v>
      </c>
      <c r="B32" s="77" t="s">
        <v>254</v>
      </c>
      <c r="C32" s="76">
        <v>2</v>
      </c>
      <c r="D32" s="77" t="s">
        <v>217</v>
      </c>
      <c r="E32" s="76">
        <v>2</v>
      </c>
      <c r="F32" s="77" t="s">
        <v>281</v>
      </c>
      <c r="G32" s="76">
        <v>4</v>
      </c>
      <c r="H32" s="76" t="s">
        <v>236</v>
      </c>
      <c r="I32" s="76" t="str">
        <f t="shared" si="0"/>
        <v>T_02_02_04</v>
      </c>
      <c r="J32" s="76">
        <v>1</v>
      </c>
      <c r="K32" s="76">
        <v>1</v>
      </c>
      <c r="L32" s="76">
        <v>1</v>
      </c>
      <c r="M32" s="76">
        <v>1</v>
      </c>
      <c r="N32" s="76">
        <v>1</v>
      </c>
      <c r="O32" s="76">
        <v>1</v>
      </c>
      <c r="P32" s="76">
        <v>1</v>
      </c>
      <c r="Q32" s="76"/>
      <c r="R32" s="76"/>
      <c r="S32" s="76"/>
      <c r="T32" s="76"/>
    </row>
    <row r="33" spans="1:20" ht="25" customHeight="1" x14ac:dyDescent="0.3">
      <c r="A33" s="76">
        <v>33</v>
      </c>
      <c r="B33" s="77" t="s">
        <v>254</v>
      </c>
      <c r="C33" s="76">
        <v>2</v>
      </c>
      <c r="D33" s="77" t="s">
        <v>217</v>
      </c>
      <c r="E33" s="76">
        <v>2</v>
      </c>
      <c r="F33" s="77" t="s">
        <v>271</v>
      </c>
      <c r="G33" s="76">
        <v>5</v>
      </c>
      <c r="H33" s="76" t="s">
        <v>236</v>
      </c>
      <c r="I33" s="76" t="str">
        <f t="shared" si="0"/>
        <v>T_02_02_05</v>
      </c>
      <c r="J33" s="76">
        <v>1</v>
      </c>
      <c r="K33" s="76">
        <v>1</v>
      </c>
      <c r="L33" s="76">
        <v>1</v>
      </c>
      <c r="M33" s="76">
        <v>1</v>
      </c>
      <c r="N33" s="76">
        <v>1</v>
      </c>
      <c r="O33" s="76">
        <v>1</v>
      </c>
      <c r="P33" s="76">
        <v>1</v>
      </c>
      <c r="Q33" s="76"/>
      <c r="R33" s="76"/>
      <c r="S33" s="76"/>
      <c r="T33" s="76"/>
    </row>
    <row r="34" spans="1:20" ht="25" customHeight="1" x14ac:dyDescent="0.3">
      <c r="A34" s="76">
        <v>82</v>
      </c>
      <c r="B34" s="77" t="s">
        <v>254</v>
      </c>
      <c r="C34" s="76">
        <v>2</v>
      </c>
      <c r="D34" s="77" t="s">
        <v>241</v>
      </c>
      <c r="E34" s="76">
        <v>3</v>
      </c>
      <c r="F34" s="77" t="s">
        <v>262</v>
      </c>
      <c r="G34" s="76">
        <v>1</v>
      </c>
      <c r="H34" s="76" t="s">
        <v>236</v>
      </c>
      <c r="I34" s="76" t="str">
        <f t="shared" si="0"/>
        <v>T_02_03_01</v>
      </c>
      <c r="J34" s="76">
        <v>1</v>
      </c>
      <c r="K34" s="76">
        <v>1</v>
      </c>
      <c r="L34" s="76">
        <v>1</v>
      </c>
      <c r="M34" s="76">
        <v>1</v>
      </c>
      <c r="N34" s="76">
        <v>1</v>
      </c>
      <c r="O34" s="76">
        <v>1</v>
      </c>
      <c r="P34" s="76">
        <v>1</v>
      </c>
      <c r="Q34" s="76"/>
      <c r="R34" s="76"/>
      <c r="S34" s="76"/>
      <c r="T34" s="76"/>
    </row>
    <row r="35" spans="1:20" ht="25" customHeight="1" x14ac:dyDescent="0.3">
      <c r="A35" s="76">
        <v>83</v>
      </c>
      <c r="B35" s="77" t="s">
        <v>254</v>
      </c>
      <c r="C35" s="76">
        <v>2</v>
      </c>
      <c r="D35" s="77" t="s">
        <v>241</v>
      </c>
      <c r="E35" s="76">
        <v>3</v>
      </c>
      <c r="F35" s="77" t="s">
        <v>263</v>
      </c>
      <c r="G35" s="76">
        <v>2</v>
      </c>
      <c r="H35" s="76" t="s">
        <v>236</v>
      </c>
      <c r="I35" s="76" t="str">
        <f t="shared" si="0"/>
        <v>T_02_03_02</v>
      </c>
      <c r="J35" s="76">
        <v>1</v>
      </c>
      <c r="K35" s="76">
        <v>1</v>
      </c>
      <c r="L35" s="76">
        <v>1</v>
      </c>
      <c r="M35" s="76">
        <v>1</v>
      </c>
      <c r="N35" s="76">
        <v>1</v>
      </c>
      <c r="O35" s="76">
        <v>1</v>
      </c>
      <c r="P35" s="76">
        <v>1</v>
      </c>
      <c r="Q35" s="76"/>
      <c r="R35" s="76"/>
      <c r="S35" s="76"/>
      <c r="T35" s="76"/>
    </row>
    <row r="36" spans="1:20" ht="25" customHeight="1" x14ac:dyDescent="0.3">
      <c r="A36" s="76">
        <v>84</v>
      </c>
      <c r="B36" s="77" t="s">
        <v>254</v>
      </c>
      <c r="C36" s="76">
        <v>2</v>
      </c>
      <c r="D36" s="77" t="s">
        <v>241</v>
      </c>
      <c r="E36" s="76">
        <v>3</v>
      </c>
      <c r="F36" s="77" t="s">
        <v>264</v>
      </c>
      <c r="G36" s="76">
        <v>3</v>
      </c>
      <c r="H36" s="76" t="s">
        <v>236</v>
      </c>
      <c r="I36" s="76" t="str">
        <f t="shared" si="0"/>
        <v>T_02_03_03</v>
      </c>
      <c r="J36" s="76">
        <v>1</v>
      </c>
      <c r="K36" s="76">
        <v>1</v>
      </c>
      <c r="L36" s="76">
        <v>1</v>
      </c>
      <c r="M36" s="76">
        <v>1</v>
      </c>
      <c r="N36" s="76">
        <v>1</v>
      </c>
      <c r="O36" s="76">
        <v>1</v>
      </c>
      <c r="P36" s="76">
        <v>1</v>
      </c>
      <c r="Q36" s="76"/>
      <c r="R36" s="76"/>
      <c r="S36" s="76"/>
      <c r="T36" s="76"/>
    </row>
    <row r="37" spans="1:20" ht="25" customHeight="1" x14ac:dyDescent="0.3">
      <c r="A37" s="76">
        <v>85</v>
      </c>
      <c r="B37" s="77" t="s">
        <v>254</v>
      </c>
      <c r="C37" s="76">
        <v>2</v>
      </c>
      <c r="D37" s="77" t="s">
        <v>241</v>
      </c>
      <c r="E37" s="76">
        <v>3</v>
      </c>
      <c r="F37" s="77" t="s">
        <v>265</v>
      </c>
      <c r="G37" s="76">
        <v>4</v>
      </c>
      <c r="H37" s="76" t="s">
        <v>236</v>
      </c>
      <c r="I37" s="76" t="str">
        <f t="shared" si="0"/>
        <v>T_02_03_04</v>
      </c>
      <c r="J37" s="76">
        <v>1</v>
      </c>
      <c r="K37" s="76">
        <v>1</v>
      </c>
      <c r="L37" s="76">
        <v>1</v>
      </c>
      <c r="M37" s="76">
        <v>1</v>
      </c>
      <c r="N37" s="76">
        <v>1</v>
      </c>
      <c r="O37" s="76">
        <v>1</v>
      </c>
      <c r="P37" s="76">
        <v>1</v>
      </c>
      <c r="Q37" s="76"/>
      <c r="R37" s="76"/>
      <c r="S37" s="76"/>
      <c r="T37" s="76"/>
    </row>
    <row r="38" spans="1:20" ht="25" customHeight="1" x14ac:dyDescent="0.3">
      <c r="A38" s="76">
        <v>86</v>
      </c>
      <c r="B38" s="77" t="s">
        <v>254</v>
      </c>
      <c r="C38" s="76">
        <v>2</v>
      </c>
      <c r="D38" s="77" t="s">
        <v>241</v>
      </c>
      <c r="E38" s="76">
        <v>3</v>
      </c>
      <c r="F38" s="77" t="s">
        <v>266</v>
      </c>
      <c r="G38" s="76">
        <v>5</v>
      </c>
      <c r="H38" s="76" t="s">
        <v>236</v>
      </c>
      <c r="I38" s="76" t="str">
        <f t="shared" si="0"/>
        <v>T_02_03_05</v>
      </c>
      <c r="J38" s="76">
        <v>1</v>
      </c>
      <c r="K38" s="76">
        <v>1</v>
      </c>
      <c r="L38" s="76">
        <v>1</v>
      </c>
      <c r="M38" s="76">
        <v>1</v>
      </c>
      <c r="N38" s="76">
        <v>1</v>
      </c>
      <c r="O38" s="76">
        <v>1</v>
      </c>
      <c r="P38" s="76">
        <v>1</v>
      </c>
      <c r="Q38" s="76"/>
      <c r="R38" s="76"/>
      <c r="S38" s="76"/>
      <c r="T38" s="76"/>
    </row>
    <row r="39" spans="1:20" ht="25" customHeight="1" x14ac:dyDescent="0.3">
      <c r="A39" s="76">
        <v>87</v>
      </c>
      <c r="B39" s="77" t="s">
        <v>254</v>
      </c>
      <c r="C39" s="76">
        <v>2</v>
      </c>
      <c r="D39" s="77" t="s">
        <v>241</v>
      </c>
      <c r="E39" s="76">
        <v>3</v>
      </c>
      <c r="F39" s="77" t="s">
        <v>267</v>
      </c>
      <c r="G39" s="76">
        <v>6</v>
      </c>
      <c r="H39" s="76" t="s">
        <v>236</v>
      </c>
      <c r="I39" s="76" t="str">
        <f t="shared" si="0"/>
        <v>T_02_03_06</v>
      </c>
      <c r="J39" s="76">
        <v>1</v>
      </c>
      <c r="K39" s="76">
        <v>1</v>
      </c>
      <c r="L39" s="76">
        <v>1</v>
      </c>
      <c r="M39" s="76">
        <v>1</v>
      </c>
      <c r="N39" s="76">
        <v>1</v>
      </c>
      <c r="O39" s="76">
        <v>1</v>
      </c>
      <c r="P39" s="76">
        <v>1</v>
      </c>
      <c r="Q39" s="76"/>
      <c r="R39" s="76"/>
      <c r="S39" s="76"/>
      <c r="T39" s="76"/>
    </row>
    <row r="40" spans="1:20" ht="25" customHeight="1" x14ac:dyDescent="0.3">
      <c r="A40" s="76">
        <v>88</v>
      </c>
      <c r="B40" s="77" t="s">
        <v>254</v>
      </c>
      <c r="C40" s="76">
        <v>2</v>
      </c>
      <c r="D40" s="77" t="s">
        <v>241</v>
      </c>
      <c r="E40" s="76">
        <v>3</v>
      </c>
      <c r="F40" s="77" t="s">
        <v>268</v>
      </c>
      <c r="G40" s="76">
        <v>7</v>
      </c>
      <c r="H40" s="76" t="s">
        <v>236</v>
      </c>
      <c r="I40" s="76" t="str">
        <f t="shared" si="0"/>
        <v>T_02_03_07</v>
      </c>
      <c r="J40" s="76">
        <v>1</v>
      </c>
      <c r="K40" s="76">
        <v>1</v>
      </c>
      <c r="L40" s="76">
        <v>1</v>
      </c>
      <c r="M40" s="76">
        <v>1</v>
      </c>
      <c r="N40" s="76">
        <v>1</v>
      </c>
      <c r="O40" s="76">
        <v>1</v>
      </c>
      <c r="P40" s="76">
        <v>1</v>
      </c>
      <c r="Q40" s="76"/>
      <c r="R40" s="76"/>
      <c r="S40" s="76"/>
      <c r="T40" s="76"/>
    </row>
    <row r="41" spans="1:20" ht="25" customHeight="1" x14ac:dyDescent="0.3">
      <c r="A41" s="76">
        <v>89</v>
      </c>
      <c r="B41" s="77" t="s">
        <v>254</v>
      </c>
      <c r="C41" s="76">
        <v>2</v>
      </c>
      <c r="D41" s="77" t="s">
        <v>241</v>
      </c>
      <c r="E41" s="76">
        <v>3</v>
      </c>
      <c r="F41" s="77" t="s">
        <v>269</v>
      </c>
      <c r="G41" s="76">
        <v>8</v>
      </c>
      <c r="H41" s="76" t="s">
        <v>236</v>
      </c>
      <c r="I41" s="76" t="str">
        <f t="shared" si="0"/>
        <v>T_02_03_08</v>
      </c>
      <c r="J41" s="76">
        <v>1</v>
      </c>
      <c r="K41" s="76">
        <v>1</v>
      </c>
      <c r="L41" s="76">
        <v>1</v>
      </c>
      <c r="M41" s="76">
        <v>1</v>
      </c>
      <c r="N41" s="76">
        <v>1</v>
      </c>
      <c r="O41" s="76">
        <v>1</v>
      </c>
      <c r="P41" s="76">
        <v>1</v>
      </c>
      <c r="Q41" s="76"/>
      <c r="R41" s="76"/>
      <c r="S41" s="76"/>
      <c r="T41" s="76"/>
    </row>
    <row r="42" spans="1:20" ht="25" customHeight="1" x14ac:dyDescent="0.3">
      <c r="A42" s="76">
        <v>90</v>
      </c>
      <c r="B42" s="77" t="s">
        <v>254</v>
      </c>
      <c r="C42" s="76">
        <v>2</v>
      </c>
      <c r="D42" s="77" t="s">
        <v>241</v>
      </c>
      <c r="E42" s="76">
        <v>3</v>
      </c>
      <c r="F42" s="77" t="s">
        <v>270</v>
      </c>
      <c r="G42" s="76">
        <v>9</v>
      </c>
      <c r="H42" s="76" t="s">
        <v>236</v>
      </c>
      <c r="I42" s="76" t="str">
        <f t="shared" si="0"/>
        <v>T_02_03_09</v>
      </c>
      <c r="J42" s="76">
        <v>1</v>
      </c>
      <c r="K42" s="76">
        <v>1</v>
      </c>
      <c r="L42" s="76">
        <v>1</v>
      </c>
      <c r="M42" s="76">
        <v>1</v>
      </c>
      <c r="N42" s="76">
        <v>1</v>
      </c>
      <c r="O42" s="76">
        <v>1</v>
      </c>
      <c r="P42" s="76">
        <v>1</v>
      </c>
      <c r="Q42" s="76"/>
      <c r="R42" s="76"/>
      <c r="S42" s="76"/>
      <c r="T42" s="76"/>
    </row>
    <row r="43" spans="1:20" ht="25" customHeight="1" x14ac:dyDescent="0.3">
      <c r="A43" s="76">
        <v>91</v>
      </c>
      <c r="B43" s="77" t="s">
        <v>254</v>
      </c>
      <c r="C43" s="76">
        <v>2</v>
      </c>
      <c r="D43" s="77" t="s">
        <v>284</v>
      </c>
      <c r="E43" s="76">
        <v>4</v>
      </c>
      <c r="F43" s="77" t="s">
        <v>286</v>
      </c>
      <c r="G43" s="76">
        <v>1</v>
      </c>
      <c r="H43" s="76" t="s">
        <v>237</v>
      </c>
      <c r="I43" s="76" t="str">
        <f t="shared" si="0"/>
        <v>T_02_04_01</v>
      </c>
      <c r="J43" s="76">
        <v>1</v>
      </c>
      <c r="K43" s="76">
        <v>1</v>
      </c>
      <c r="L43" s="76">
        <v>1</v>
      </c>
      <c r="M43" s="76">
        <v>1</v>
      </c>
      <c r="N43" s="76">
        <v>1</v>
      </c>
      <c r="O43" s="76">
        <v>1</v>
      </c>
      <c r="P43" s="76">
        <v>1</v>
      </c>
      <c r="Q43" s="76"/>
      <c r="R43" s="76"/>
      <c r="S43" s="76"/>
      <c r="T43" s="76"/>
    </row>
    <row r="44" spans="1:20" ht="25" customHeight="1" x14ac:dyDescent="0.3">
      <c r="A44" s="76">
        <v>92</v>
      </c>
      <c r="B44" s="77" t="s">
        <v>254</v>
      </c>
      <c r="C44" s="76">
        <v>2</v>
      </c>
      <c r="D44" s="77" t="s">
        <v>284</v>
      </c>
      <c r="E44" s="76">
        <v>4</v>
      </c>
      <c r="F44" s="77" t="s">
        <v>285</v>
      </c>
      <c r="G44" s="76">
        <v>2</v>
      </c>
      <c r="H44" s="76" t="s">
        <v>236</v>
      </c>
      <c r="I44" s="76" t="str">
        <f t="shared" si="0"/>
        <v>T_02_04_02</v>
      </c>
      <c r="J44" s="76">
        <v>0</v>
      </c>
      <c r="K44" s="76">
        <v>1</v>
      </c>
      <c r="L44" s="76">
        <v>1</v>
      </c>
      <c r="M44" s="76">
        <v>1</v>
      </c>
      <c r="N44" s="76">
        <v>1</v>
      </c>
      <c r="O44" s="76">
        <v>1</v>
      </c>
      <c r="P44" s="76">
        <v>0</v>
      </c>
      <c r="Q44" s="76"/>
      <c r="R44" s="76"/>
      <c r="S44" s="76"/>
      <c r="T44" s="76"/>
    </row>
    <row r="45" spans="1:20" ht="25" customHeight="1" x14ac:dyDescent="0.3">
      <c r="A45" s="76">
        <v>93</v>
      </c>
      <c r="B45" s="77" t="s">
        <v>254</v>
      </c>
      <c r="C45" s="76">
        <v>2</v>
      </c>
      <c r="D45" s="77" t="s">
        <v>284</v>
      </c>
      <c r="E45" s="76">
        <v>4</v>
      </c>
      <c r="F45" s="77" t="s">
        <v>287</v>
      </c>
      <c r="G45" s="76">
        <v>3</v>
      </c>
      <c r="H45" s="76" t="s">
        <v>236</v>
      </c>
      <c r="I45" s="76" t="str">
        <f t="shared" si="0"/>
        <v>T_02_04_03</v>
      </c>
      <c r="J45" s="76">
        <v>0</v>
      </c>
      <c r="K45" s="76">
        <v>1</v>
      </c>
      <c r="L45" s="76">
        <v>1</v>
      </c>
      <c r="M45" s="76">
        <v>1</v>
      </c>
      <c r="N45" s="76">
        <v>1</v>
      </c>
      <c r="O45" s="76">
        <v>1</v>
      </c>
      <c r="P45" s="76">
        <v>0</v>
      </c>
      <c r="Q45" s="76"/>
      <c r="R45" s="76"/>
      <c r="S45" s="76"/>
      <c r="T45" s="76"/>
    </row>
    <row r="46" spans="1:20" ht="25" customHeight="1" x14ac:dyDescent="0.3">
      <c r="A46" s="76">
        <v>94</v>
      </c>
      <c r="B46" s="77" t="s">
        <v>254</v>
      </c>
      <c r="C46" s="76">
        <v>2</v>
      </c>
      <c r="D46" s="77" t="s">
        <v>284</v>
      </c>
      <c r="E46" s="76">
        <v>4</v>
      </c>
      <c r="F46" s="77" t="s">
        <v>288</v>
      </c>
      <c r="G46" s="76">
        <v>4</v>
      </c>
      <c r="H46" s="76" t="s">
        <v>236</v>
      </c>
      <c r="I46" s="76" t="str">
        <f t="shared" si="0"/>
        <v>T_02_04_04</v>
      </c>
      <c r="J46" s="76">
        <v>0</v>
      </c>
      <c r="K46" s="76">
        <v>1</v>
      </c>
      <c r="L46" s="76">
        <v>1</v>
      </c>
      <c r="M46" s="76">
        <v>1</v>
      </c>
      <c r="N46" s="76">
        <v>1</v>
      </c>
      <c r="O46" s="76">
        <v>1</v>
      </c>
      <c r="P46" s="76">
        <v>0</v>
      </c>
      <c r="Q46" s="76"/>
      <c r="R46" s="76"/>
      <c r="S46" s="76"/>
      <c r="T46" s="76"/>
    </row>
    <row r="47" spans="1:20" ht="25" customHeight="1" x14ac:dyDescent="0.3">
      <c r="A47" s="76">
        <v>95</v>
      </c>
      <c r="B47" s="77" t="s">
        <v>254</v>
      </c>
      <c r="C47" s="76">
        <v>2</v>
      </c>
      <c r="D47" s="77" t="s">
        <v>284</v>
      </c>
      <c r="E47" s="76">
        <v>4</v>
      </c>
      <c r="F47" s="77" t="s">
        <v>292</v>
      </c>
      <c r="G47" s="76">
        <v>5</v>
      </c>
      <c r="H47" s="76" t="s">
        <v>236</v>
      </c>
      <c r="I47" s="76" t="str">
        <f t="shared" si="0"/>
        <v>T_02_04_05</v>
      </c>
      <c r="J47" s="76">
        <v>0</v>
      </c>
      <c r="K47" s="76">
        <v>1</v>
      </c>
      <c r="L47" s="76">
        <v>1</v>
      </c>
      <c r="M47" s="76">
        <v>1</v>
      </c>
      <c r="N47" s="76">
        <v>1</v>
      </c>
      <c r="O47" s="76">
        <v>1</v>
      </c>
      <c r="P47" s="76">
        <v>0</v>
      </c>
      <c r="Q47" s="76"/>
      <c r="R47" s="76"/>
      <c r="S47" s="76"/>
      <c r="T47" s="76"/>
    </row>
    <row r="48" spans="1:20" ht="25" customHeight="1" x14ac:dyDescent="0.3">
      <c r="A48" s="76">
        <v>96</v>
      </c>
      <c r="B48" s="77" t="s">
        <v>254</v>
      </c>
      <c r="C48" s="76">
        <v>2</v>
      </c>
      <c r="D48" s="77" t="s">
        <v>284</v>
      </c>
      <c r="E48" s="76">
        <v>4</v>
      </c>
      <c r="F48" s="77" t="s">
        <v>293</v>
      </c>
      <c r="G48" s="76">
        <v>6</v>
      </c>
      <c r="H48" s="76" t="s">
        <v>236</v>
      </c>
      <c r="I48" s="76" t="str">
        <f t="shared" ref="I48" si="1">CONCATENATE("T_","0",C48,"_0",E48,"_0",G48)</f>
        <v>T_02_04_06</v>
      </c>
      <c r="J48" s="76">
        <v>0</v>
      </c>
      <c r="K48" s="76">
        <v>1</v>
      </c>
      <c r="L48" s="76">
        <v>1</v>
      </c>
      <c r="M48" s="76">
        <v>1</v>
      </c>
      <c r="N48" s="76">
        <v>1</v>
      </c>
      <c r="O48" s="76">
        <v>1</v>
      </c>
      <c r="P48" s="76">
        <v>0</v>
      </c>
      <c r="Q48" s="76"/>
      <c r="R48" s="76"/>
      <c r="S48" s="76"/>
      <c r="T48" s="76"/>
    </row>
  </sheetData>
  <autoFilter ref="A2:T76" xr:uid="{00000000-0009-0000-0000-000000000000}">
    <sortState xmlns:xlrd2="http://schemas.microsoft.com/office/spreadsheetml/2017/richdata2" ref="A3:T46">
      <sortCondition ref="C2:C76"/>
    </sortState>
  </autoFilter>
  <mergeCells count="3">
    <mergeCell ref="Q1:T1"/>
    <mergeCell ref="H1:J1"/>
    <mergeCell ref="K1:P1"/>
  </mergeCells>
  <conditionalFormatting sqref="J3:T3">
    <cfRule type="iconSet" priority="5">
      <iconSet iconSet="3Symbols2" showValue="0">
        <cfvo type="percent" val="0"/>
        <cfvo type="num" val="0" gte="0"/>
        <cfvo type="num" val="1"/>
      </iconSet>
    </cfRule>
  </conditionalFormatting>
  <conditionalFormatting sqref="J24:T24 Q25:T27">
    <cfRule type="iconSet" priority="4">
      <iconSet iconSet="3Symbols2" showValue="0">
        <cfvo type="percent" val="0"/>
        <cfvo type="num" val="0" gte="0"/>
        <cfvo type="num" val="1"/>
      </iconSet>
    </cfRule>
  </conditionalFormatting>
  <conditionalFormatting sqref="J25:P27">
    <cfRule type="iconSet" priority="3">
      <iconSet iconSet="3Symbols2" showValue="0">
        <cfvo type="percent" val="0"/>
        <cfvo type="num" val="0" gte="0"/>
        <cfvo type="num" val="1"/>
      </iconSet>
    </cfRule>
  </conditionalFormatting>
  <conditionalFormatting sqref="J28:T46 J4:T23">
    <cfRule type="iconSet" priority="8">
      <iconSet iconSet="3Symbols2" showValue="0">
        <cfvo type="percent" val="0"/>
        <cfvo type="num" val="0" gte="0"/>
        <cfvo type="num" val="1"/>
      </iconSet>
    </cfRule>
  </conditionalFormatting>
  <conditionalFormatting sqref="J48:T48">
    <cfRule type="iconSet" priority="2">
      <iconSet iconSet="3Symbols2" showValue="0">
        <cfvo type="percent" val="0"/>
        <cfvo type="num" val="0" gte="0"/>
        <cfvo type="num" val="1"/>
      </iconSet>
    </cfRule>
  </conditionalFormatting>
  <conditionalFormatting sqref="J47:T47">
    <cfRule type="iconSet" priority="1">
      <iconSet iconSet="3Symbols2" showValue="0">
        <cfvo type="percent" val="0"/>
        <cfvo type="num" val="0" gte="0"/>
        <cfvo type="num" val="1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C823-AC58-4B69-9EAE-B813115B77D5}">
  <dimension ref="A3:A57"/>
  <sheetViews>
    <sheetView topLeftCell="A32" workbookViewId="0">
      <selection activeCell="A58" sqref="A58"/>
    </sheetView>
  </sheetViews>
  <sheetFormatPr baseColWidth="10" defaultRowHeight="14" x14ac:dyDescent="0.3"/>
  <sheetData>
    <row r="3" spans="1:1" x14ac:dyDescent="0.3">
      <c r="A3" t="s">
        <v>294</v>
      </c>
    </row>
    <row r="4" spans="1:1" x14ac:dyDescent="0.3">
      <c r="A4" t="s">
        <v>295</v>
      </c>
    </row>
    <row r="5" spans="1:1" x14ac:dyDescent="0.3">
      <c r="A5" t="s">
        <v>296</v>
      </c>
    </row>
    <row r="6" spans="1:1" x14ac:dyDescent="0.3">
      <c r="A6" t="s">
        <v>297</v>
      </c>
    </row>
    <row r="7" spans="1:1" x14ac:dyDescent="0.3">
      <c r="A7" t="s">
        <v>298</v>
      </c>
    </row>
    <row r="8" spans="1:1" x14ac:dyDescent="0.3">
      <c r="A8" t="s">
        <v>299</v>
      </c>
    </row>
    <row r="9" spans="1:1" x14ac:dyDescent="0.3">
      <c r="A9" t="s">
        <v>300</v>
      </c>
    </row>
    <row r="10" spans="1:1" x14ac:dyDescent="0.3">
      <c r="A10" t="s">
        <v>301</v>
      </c>
    </row>
    <row r="11" spans="1:1" x14ac:dyDescent="0.3">
      <c r="A11" t="s">
        <v>302</v>
      </c>
    </row>
    <row r="12" spans="1:1" x14ac:dyDescent="0.3">
      <c r="A12" t="s">
        <v>303</v>
      </c>
    </row>
    <row r="13" spans="1:1" x14ac:dyDescent="0.3">
      <c r="A13" t="s">
        <v>304</v>
      </c>
    </row>
    <row r="14" spans="1:1" x14ac:dyDescent="0.3">
      <c r="A14" t="s">
        <v>305</v>
      </c>
    </row>
    <row r="15" spans="1:1" x14ac:dyDescent="0.3">
      <c r="A15" t="s">
        <v>306</v>
      </c>
    </row>
    <row r="16" spans="1:1" x14ac:dyDescent="0.3">
      <c r="A16" t="s">
        <v>307</v>
      </c>
    </row>
    <row r="17" spans="1:1" x14ac:dyDescent="0.3">
      <c r="A17" t="s">
        <v>308</v>
      </c>
    </row>
    <row r="18" spans="1:1" x14ac:dyDescent="0.3">
      <c r="A18" t="s">
        <v>309</v>
      </c>
    </row>
    <row r="19" spans="1:1" x14ac:dyDescent="0.3">
      <c r="A19" t="s">
        <v>310</v>
      </c>
    </row>
    <row r="20" spans="1:1" x14ac:dyDescent="0.3">
      <c r="A20" t="s">
        <v>314</v>
      </c>
    </row>
    <row r="21" spans="1:1" x14ac:dyDescent="0.3">
      <c r="A21" t="s">
        <v>311</v>
      </c>
    </row>
    <row r="22" spans="1:1" x14ac:dyDescent="0.3">
      <c r="A22" t="s">
        <v>312</v>
      </c>
    </row>
    <row r="23" spans="1:1" x14ac:dyDescent="0.3">
      <c r="A23" t="s">
        <v>313</v>
      </c>
    </row>
    <row r="24" spans="1:1" x14ac:dyDescent="0.3">
      <c r="A24" t="s">
        <v>315</v>
      </c>
    </row>
    <row r="25" spans="1:1" x14ac:dyDescent="0.3">
      <c r="A25" t="s">
        <v>316</v>
      </c>
    </row>
    <row r="26" spans="1:1" x14ac:dyDescent="0.3">
      <c r="A26" t="s">
        <v>317</v>
      </c>
    </row>
    <row r="27" spans="1:1" x14ac:dyDescent="0.3">
      <c r="A27" t="s">
        <v>318</v>
      </c>
    </row>
    <row r="28" spans="1:1" x14ac:dyDescent="0.3">
      <c r="A28" t="s">
        <v>319</v>
      </c>
    </row>
    <row r="29" spans="1:1" x14ac:dyDescent="0.3">
      <c r="A29" t="s">
        <v>320</v>
      </c>
    </row>
    <row r="31" spans="1:1" x14ac:dyDescent="0.3">
      <c r="A31" t="s">
        <v>321</v>
      </c>
    </row>
    <row r="32" spans="1:1" x14ac:dyDescent="0.3">
      <c r="A32" t="s">
        <v>322</v>
      </c>
    </row>
    <row r="33" spans="1:1" x14ac:dyDescent="0.3">
      <c r="A33" t="s">
        <v>323</v>
      </c>
    </row>
    <row r="34" spans="1:1" x14ac:dyDescent="0.3">
      <c r="A34" t="s">
        <v>324</v>
      </c>
    </row>
    <row r="35" spans="1:1" x14ac:dyDescent="0.3">
      <c r="A35" t="s">
        <v>325</v>
      </c>
    </row>
    <row r="36" spans="1:1" x14ac:dyDescent="0.3">
      <c r="A36" t="s">
        <v>329</v>
      </c>
    </row>
    <row r="37" spans="1:1" x14ac:dyDescent="0.3">
      <c r="A37" t="s">
        <v>326</v>
      </c>
    </row>
    <row r="38" spans="1:1" x14ac:dyDescent="0.3">
      <c r="A38" t="s">
        <v>327</v>
      </c>
    </row>
    <row r="39" spans="1:1" x14ac:dyDescent="0.3">
      <c r="A39" t="s">
        <v>328</v>
      </c>
    </row>
    <row r="40" spans="1:1" x14ac:dyDescent="0.3">
      <c r="A40" t="s">
        <v>330</v>
      </c>
    </row>
    <row r="41" spans="1:1" x14ac:dyDescent="0.3">
      <c r="A41" t="s">
        <v>331</v>
      </c>
    </row>
    <row r="42" spans="1:1" x14ac:dyDescent="0.3">
      <c r="A42" t="s">
        <v>332</v>
      </c>
    </row>
    <row r="43" spans="1:1" x14ac:dyDescent="0.3">
      <c r="A43" t="s">
        <v>333</v>
      </c>
    </row>
    <row r="44" spans="1:1" x14ac:dyDescent="0.3">
      <c r="A44" t="s">
        <v>334</v>
      </c>
    </row>
    <row r="45" spans="1:1" x14ac:dyDescent="0.3">
      <c r="A45" t="s">
        <v>335</v>
      </c>
    </row>
    <row r="46" spans="1:1" x14ac:dyDescent="0.3">
      <c r="A46" t="s">
        <v>336</v>
      </c>
    </row>
    <row r="48" spans="1:1" x14ac:dyDescent="0.3">
      <c r="A48" t="s">
        <v>337</v>
      </c>
    </row>
    <row r="49" spans="1:1" x14ac:dyDescent="0.3">
      <c r="A49" t="s">
        <v>338</v>
      </c>
    </row>
    <row r="50" spans="1:1" x14ac:dyDescent="0.3">
      <c r="A50" t="s">
        <v>339</v>
      </c>
    </row>
    <row r="51" spans="1:1" x14ac:dyDescent="0.3">
      <c r="A51" t="s">
        <v>340</v>
      </c>
    </row>
    <row r="52" spans="1:1" x14ac:dyDescent="0.3">
      <c r="A52" t="s">
        <v>341</v>
      </c>
    </row>
    <row r="53" spans="1:1" x14ac:dyDescent="0.3">
      <c r="A53" t="s">
        <v>342</v>
      </c>
    </row>
    <row r="55" spans="1:1" x14ac:dyDescent="0.3">
      <c r="A55" t="s">
        <v>343</v>
      </c>
    </row>
    <row r="56" spans="1:1" x14ac:dyDescent="0.3">
      <c r="A56" t="s">
        <v>344</v>
      </c>
    </row>
    <row r="57" spans="1:1" x14ac:dyDescent="0.3">
      <c r="A57" t="s">
        <v>345</v>
      </c>
    </row>
  </sheetData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3FD9E-743D-458A-B110-13BB11D5EC65}">
  <dimension ref="A1:K153"/>
  <sheetViews>
    <sheetView tabSelected="1" zoomScaleNormal="100" workbookViewId="0">
      <selection activeCell="C2" sqref="C2:C130"/>
    </sheetView>
  </sheetViews>
  <sheetFormatPr baseColWidth="10" defaultRowHeight="14" x14ac:dyDescent="0.3"/>
  <cols>
    <col min="1" max="1" width="16.3984375" bestFit="1" customWidth="1"/>
    <col min="2" max="2" width="24.8984375" bestFit="1" customWidth="1"/>
    <col min="3" max="3" width="24.8984375" customWidth="1"/>
    <col min="4" max="4" width="28.19921875" bestFit="1" customWidth="1"/>
    <col min="5" max="5" width="14.19921875" bestFit="1" customWidth="1"/>
    <col min="11" max="11" width="10.69921875" customWidth="1"/>
  </cols>
  <sheetData>
    <row r="1" spans="1:11" ht="14.5" x14ac:dyDescent="0.3">
      <c r="A1" s="97" t="s">
        <v>391</v>
      </c>
      <c r="B1" s="97" t="s">
        <v>392</v>
      </c>
      <c r="C1" s="103" t="s">
        <v>808</v>
      </c>
      <c r="D1" s="97" t="s">
        <v>256</v>
      </c>
      <c r="E1" s="97" t="s">
        <v>393</v>
      </c>
      <c r="F1" s="97" t="s">
        <v>394</v>
      </c>
      <c r="G1" s="97" t="s">
        <v>395</v>
      </c>
      <c r="H1" s="97" t="s">
        <v>396</v>
      </c>
      <c r="I1" s="97" t="s">
        <v>397</v>
      </c>
      <c r="J1" s="103" t="s">
        <v>439</v>
      </c>
      <c r="K1" s="97" t="s">
        <v>398</v>
      </c>
    </row>
    <row r="2" spans="1:11" ht="14.5" x14ac:dyDescent="0.35">
      <c r="A2" t="s">
        <v>346</v>
      </c>
      <c r="B2" s="87" t="s">
        <v>362</v>
      </c>
      <c r="C2" s="105">
        <v>1</v>
      </c>
      <c r="D2" s="87" t="s">
        <v>792</v>
      </c>
      <c r="E2" s="105" t="s">
        <v>389</v>
      </c>
      <c r="F2" s="104" t="s">
        <v>443</v>
      </c>
      <c r="G2" s="104" t="s">
        <v>444</v>
      </c>
      <c r="H2" s="87">
        <v>2</v>
      </c>
      <c r="I2" s="87" t="s">
        <v>363</v>
      </c>
      <c r="J2" s="102">
        <v>31</v>
      </c>
      <c r="K2" s="87" t="s">
        <v>364</v>
      </c>
    </row>
    <row r="3" spans="1:11" ht="14.5" x14ac:dyDescent="0.35">
      <c r="A3" t="s">
        <v>347</v>
      </c>
      <c r="B3" s="87" t="s">
        <v>362</v>
      </c>
      <c r="C3" s="105">
        <v>1</v>
      </c>
      <c r="D3" s="105" t="s">
        <v>792</v>
      </c>
      <c r="E3" s="105" t="s">
        <v>389</v>
      </c>
      <c r="F3" s="104" t="s">
        <v>443</v>
      </c>
      <c r="G3" s="104" t="s">
        <v>444</v>
      </c>
      <c r="H3" s="87">
        <v>2</v>
      </c>
      <c r="I3" s="87" t="s">
        <v>363</v>
      </c>
      <c r="J3" s="102">
        <v>31</v>
      </c>
      <c r="K3" s="87" t="s">
        <v>365</v>
      </c>
    </row>
    <row r="4" spans="1:11" ht="14.5" x14ac:dyDescent="0.35">
      <c r="A4" t="s">
        <v>348</v>
      </c>
      <c r="B4" s="87" t="s">
        <v>362</v>
      </c>
      <c r="C4" s="105">
        <v>1</v>
      </c>
      <c r="D4" s="105" t="s">
        <v>792</v>
      </c>
      <c r="E4" s="105" t="s">
        <v>389</v>
      </c>
      <c r="F4" s="104" t="s">
        <v>443</v>
      </c>
      <c r="G4" s="104" t="s">
        <v>444</v>
      </c>
      <c r="H4" s="87">
        <v>2</v>
      </c>
      <c r="I4" s="87" t="s">
        <v>363</v>
      </c>
      <c r="J4" s="102">
        <v>31</v>
      </c>
      <c r="K4" s="87" t="s">
        <v>366</v>
      </c>
    </row>
    <row r="5" spans="1:11" ht="14.5" x14ac:dyDescent="0.35">
      <c r="A5" t="s">
        <v>349</v>
      </c>
      <c r="B5" s="88" t="s">
        <v>362</v>
      </c>
      <c r="C5" s="105">
        <v>46</v>
      </c>
      <c r="D5" s="88" t="s">
        <v>797</v>
      </c>
      <c r="E5" s="88" t="s">
        <v>367</v>
      </c>
      <c r="F5" s="104" t="s">
        <v>445</v>
      </c>
      <c r="G5" s="104" t="s">
        <v>446</v>
      </c>
      <c r="H5" s="88">
        <v>5</v>
      </c>
      <c r="I5" s="88" t="s">
        <v>367</v>
      </c>
      <c r="J5" s="102">
        <v>21</v>
      </c>
      <c r="K5" s="88" t="s">
        <v>368</v>
      </c>
    </row>
    <row r="6" spans="1:11" x14ac:dyDescent="0.3">
      <c r="F6" s="104"/>
      <c r="G6" s="104"/>
    </row>
    <row r="7" spans="1:11" ht="14.5" x14ac:dyDescent="0.35">
      <c r="A7" t="s">
        <v>350</v>
      </c>
      <c r="B7" s="89" t="s">
        <v>369</v>
      </c>
      <c r="C7" s="105">
        <v>2</v>
      </c>
      <c r="D7" s="89" t="s">
        <v>796</v>
      </c>
      <c r="E7" s="105" t="s">
        <v>389</v>
      </c>
      <c r="F7" s="104" t="s">
        <v>447</v>
      </c>
      <c r="G7" s="104" t="s">
        <v>430</v>
      </c>
      <c r="H7" s="89">
        <v>2</v>
      </c>
      <c r="I7" s="89" t="s">
        <v>363</v>
      </c>
      <c r="J7" s="102">
        <v>31</v>
      </c>
      <c r="K7" s="89" t="s">
        <v>370</v>
      </c>
    </row>
    <row r="8" spans="1:11" ht="14.5" x14ac:dyDescent="0.35">
      <c r="A8" t="s">
        <v>351</v>
      </c>
      <c r="B8" s="89" t="s">
        <v>369</v>
      </c>
      <c r="C8" s="105">
        <v>2</v>
      </c>
      <c r="D8" s="105" t="s">
        <v>796</v>
      </c>
      <c r="E8" s="105" t="s">
        <v>389</v>
      </c>
      <c r="F8" s="104" t="s">
        <v>447</v>
      </c>
      <c r="G8" s="104" t="s">
        <v>430</v>
      </c>
      <c r="H8" s="89">
        <v>2</v>
      </c>
      <c r="I8" s="89" t="s">
        <v>363</v>
      </c>
      <c r="J8" s="102">
        <v>31</v>
      </c>
      <c r="K8" s="89" t="s">
        <v>371</v>
      </c>
    </row>
    <row r="9" spans="1:11" x14ac:dyDescent="0.3">
      <c r="F9" s="104"/>
      <c r="G9" s="104"/>
    </row>
    <row r="10" spans="1:11" ht="14.5" x14ac:dyDescent="0.35">
      <c r="A10" t="s">
        <v>352</v>
      </c>
      <c r="B10" s="91" t="s">
        <v>374</v>
      </c>
      <c r="C10" s="105">
        <v>2</v>
      </c>
      <c r="D10" s="91" t="s">
        <v>794</v>
      </c>
      <c r="E10" s="91" t="s">
        <v>795</v>
      </c>
      <c r="F10" s="104" t="s">
        <v>448</v>
      </c>
      <c r="G10" s="104" t="s">
        <v>449</v>
      </c>
      <c r="H10" s="91">
        <v>80</v>
      </c>
      <c r="I10" s="91" t="s">
        <v>375</v>
      </c>
      <c r="J10" s="102">
        <v>16</v>
      </c>
      <c r="K10" s="91" t="s">
        <v>376</v>
      </c>
    </row>
    <row r="11" spans="1:11" ht="14.5" x14ac:dyDescent="0.35">
      <c r="A11" t="s">
        <v>353</v>
      </c>
      <c r="B11" s="92" t="s">
        <v>374</v>
      </c>
      <c r="C11" s="105">
        <v>33</v>
      </c>
      <c r="D11" s="105" t="s">
        <v>790</v>
      </c>
      <c r="E11" s="105" t="s">
        <v>389</v>
      </c>
      <c r="F11" s="104" t="s">
        <v>450</v>
      </c>
      <c r="G11" s="104" t="s">
        <v>451</v>
      </c>
      <c r="H11" s="92">
        <v>10</v>
      </c>
      <c r="I11" s="92" t="s">
        <v>363</v>
      </c>
      <c r="J11" s="102">
        <v>31</v>
      </c>
      <c r="K11" s="92" t="s">
        <v>377</v>
      </c>
    </row>
    <row r="12" spans="1:11" ht="14.5" x14ac:dyDescent="0.35">
      <c r="A12" t="s">
        <v>354</v>
      </c>
      <c r="B12" s="102" t="s">
        <v>374</v>
      </c>
      <c r="C12" s="105">
        <v>65</v>
      </c>
      <c r="D12" s="94" t="s">
        <v>380</v>
      </c>
      <c r="E12" s="94" t="s">
        <v>381</v>
      </c>
      <c r="F12" s="104" t="s">
        <v>452</v>
      </c>
      <c r="G12" s="104" t="s">
        <v>453</v>
      </c>
      <c r="H12" s="94">
        <v>160</v>
      </c>
      <c r="I12" s="94" t="s">
        <v>381</v>
      </c>
      <c r="J12" s="102">
        <v>30</v>
      </c>
      <c r="K12" s="94" t="s">
        <v>382</v>
      </c>
    </row>
    <row r="13" spans="1:11" ht="14.5" x14ac:dyDescent="0.35">
      <c r="A13" t="s">
        <v>355</v>
      </c>
      <c r="B13" s="102" t="s">
        <v>374</v>
      </c>
      <c r="C13" s="105">
        <v>48</v>
      </c>
      <c r="D13" s="90" t="s">
        <v>367</v>
      </c>
      <c r="E13" s="90" t="s">
        <v>367</v>
      </c>
      <c r="F13" s="104" t="s">
        <v>454</v>
      </c>
      <c r="G13" s="104" t="s">
        <v>455</v>
      </c>
      <c r="H13" s="90">
        <v>8</v>
      </c>
      <c r="I13" s="90" t="s">
        <v>367</v>
      </c>
      <c r="J13" s="102">
        <v>21</v>
      </c>
      <c r="K13" s="90" t="s">
        <v>372</v>
      </c>
    </row>
    <row r="14" spans="1:11" ht="14.5" x14ac:dyDescent="0.35">
      <c r="A14" t="s">
        <v>356</v>
      </c>
      <c r="B14" s="102" t="s">
        <v>374</v>
      </c>
      <c r="C14" s="105">
        <v>48</v>
      </c>
      <c r="D14" s="90" t="s">
        <v>367</v>
      </c>
      <c r="E14" s="90" t="s">
        <v>367</v>
      </c>
      <c r="F14" s="104" t="s">
        <v>454</v>
      </c>
      <c r="G14" s="104" t="s">
        <v>455</v>
      </c>
      <c r="H14" s="90">
        <v>8</v>
      </c>
      <c r="I14" s="90" t="s">
        <v>367</v>
      </c>
      <c r="J14" s="102">
        <v>21</v>
      </c>
      <c r="K14" s="90" t="s">
        <v>373</v>
      </c>
    </row>
    <row r="15" spans="1:11" ht="14.5" x14ac:dyDescent="0.35">
      <c r="A15" t="s">
        <v>357</v>
      </c>
      <c r="B15" s="102" t="s">
        <v>374</v>
      </c>
      <c r="C15" s="105">
        <v>1</v>
      </c>
      <c r="D15" s="93" t="s">
        <v>791</v>
      </c>
      <c r="E15" s="93" t="s">
        <v>378</v>
      </c>
      <c r="F15" s="104" t="s">
        <v>456</v>
      </c>
      <c r="G15" s="104" t="s">
        <v>457</v>
      </c>
      <c r="H15" s="93">
        <v>280</v>
      </c>
      <c r="I15" s="93" t="s">
        <v>378</v>
      </c>
      <c r="J15" s="102">
        <v>1</v>
      </c>
      <c r="K15" s="93" t="s">
        <v>379</v>
      </c>
    </row>
    <row r="16" spans="1:11" x14ac:dyDescent="0.3">
      <c r="F16" s="104"/>
      <c r="G16" s="104"/>
    </row>
    <row r="17" spans="1:11" ht="14.5" x14ac:dyDescent="0.35">
      <c r="A17" t="s">
        <v>358</v>
      </c>
      <c r="B17" s="95" t="s">
        <v>383</v>
      </c>
      <c r="C17" s="105">
        <v>33</v>
      </c>
      <c r="D17" s="95" t="s">
        <v>790</v>
      </c>
      <c r="E17" s="95" t="s">
        <v>389</v>
      </c>
      <c r="F17" s="104" t="s">
        <v>458</v>
      </c>
      <c r="G17" s="104" t="s">
        <v>459</v>
      </c>
      <c r="H17" s="95">
        <v>5</v>
      </c>
      <c r="I17" s="95" t="s">
        <v>363</v>
      </c>
      <c r="J17" s="102">
        <v>31</v>
      </c>
      <c r="K17" s="95" t="s">
        <v>384</v>
      </c>
    </row>
    <row r="18" spans="1:11" ht="14.5" x14ac:dyDescent="0.35">
      <c r="A18" t="s">
        <v>359</v>
      </c>
      <c r="B18" s="95" t="s">
        <v>383</v>
      </c>
      <c r="C18" s="105">
        <v>48</v>
      </c>
      <c r="D18" s="95" t="s">
        <v>367</v>
      </c>
      <c r="E18" s="95" t="s">
        <v>367</v>
      </c>
      <c r="F18" s="104" t="s">
        <v>454</v>
      </c>
      <c r="G18" s="104" t="s">
        <v>455</v>
      </c>
      <c r="H18" s="95">
        <v>8</v>
      </c>
      <c r="I18" s="95" t="s">
        <v>367</v>
      </c>
      <c r="J18" s="102">
        <v>21</v>
      </c>
      <c r="K18" s="95" t="s">
        <v>385</v>
      </c>
    </row>
    <row r="19" spans="1:11" ht="14.5" x14ac:dyDescent="0.35">
      <c r="A19" t="s">
        <v>361</v>
      </c>
      <c r="B19" s="95" t="s">
        <v>386</v>
      </c>
      <c r="C19" s="105">
        <v>3</v>
      </c>
      <c r="D19" s="95" t="s">
        <v>793</v>
      </c>
      <c r="E19" s="95" t="s">
        <v>792</v>
      </c>
      <c r="F19" s="104" t="s">
        <v>460</v>
      </c>
      <c r="G19" s="104" t="s">
        <v>461</v>
      </c>
      <c r="H19" s="95">
        <v>2</v>
      </c>
      <c r="I19" s="95" t="s">
        <v>363</v>
      </c>
      <c r="J19" s="102">
        <v>31</v>
      </c>
      <c r="K19" s="95" t="s">
        <v>387</v>
      </c>
    </row>
    <row r="20" spans="1:11" ht="14.5" x14ac:dyDescent="0.35">
      <c r="A20" t="s">
        <v>360</v>
      </c>
      <c r="B20" s="95" t="s">
        <v>388</v>
      </c>
      <c r="C20" s="105">
        <v>2</v>
      </c>
      <c r="D20" s="95" t="s">
        <v>389</v>
      </c>
      <c r="E20" s="95" t="s">
        <v>363</v>
      </c>
      <c r="F20" s="104" t="s">
        <v>447</v>
      </c>
      <c r="G20" s="104" t="s">
        <v>430</v>
      </c>
      <c r="H20" s="95">
        <v>2</v>
      </c>
      <c r="I20" s="95" t="s">
        <v>363</v>
      </c>
      <c r="J20" s="102">
        <v>31</v>
      </c>
      <c r="K20" s="95" t="s">
        <v>390</v>
      </c>
    </row>
    <row r="21" spans="1:11" x14ac:dyDescent="0.3">
      <c r="F21" s="104"/>
      <c r="G21" s="104"/>
    </row>
    <row r="22" spans="1:11" ht="14.5" x14ac:dyDescent="0.35">
      <c r="A22" t="s">
        <v>407</v>
      </c>
      <c r="B22" s="96" t="s">
        <v>409</v>
      </c>
      <c r="C22" s="105">
        <v>34</v>
      </c>
      <c r="D22" s="96" t="s">
        <v>389</v>
      </c>
      <c r="E22" s="96" t="s">
        <v>389</v>
      </c>
      <c r="F22" s="104" t="s">
        <v>462</v>
      </c>
      <c r="G22" s="104" t="s">
        <v>463</v>
      </c>
      <c r="H22" s="99">
        <v>5</v>
      </c>
      <c r="I22" s="98" t="s">
        <v>363</v>
      </c>
      <c r="J22" s="102">
        <v>31</v>
      </c>
      <c r="K22" s="102" t="s">
        <v>399</v>
      </c>
    </row>
    <row r="23" spans="1:11" ht="14.5" x14ac:dyDescent="0.35">
      <c r="A23" t="s">
        <v>406</v>
      </c>
      <c r="B23" s="102" t="s">
        <v>409</v>
      </c>
      <c r="C23" s="105">
        <v>47</v>
      </c>
      <c r="D23" s="96" t="s">
        <v>367</v>
      </c>
      <c r="E23" s="96" t="s">
        <v>367</v>
      </c>
      <c r="F23" s="104" t="s">
        <v>400</v>
      </c>
      <c r="G23" s="104" t="s">
        <v>464</v>
      </c>
      <c r="H23" s="100">
        <v>18</v>
      </c>
      <c r="I23" s="98" t="s">
        <v>367</v>
      </c>
      <c r="J23" s="98">
        <v>21</v>
      </c>
      <c r="K23" s="102" t="s">
        <v>401</v>
      </c>
    </row>
    <row r="24" spans="1:11" ht="14.5" x14ac:dyDescent="0.35">
      <c r="A24" t="s">
        <v>408</v>
      </c>
      <c r="B24" s="102" t="s">
        <v>409</v>
      </c>
      <c r="C24" s="105">
        <v>5</v>
      </c>
      <c r="D24" s="96" t="s">
        <v>405</v>
      </c>
      <c r="E24" s="96" t="s">
        <v>405</v>
      </c>
      <c r="F24" s="104" t="s">
        <v>402</v>
      </c>
      <c r="G24" s="104" t="s">
        <v>403</v>
      </c>
      <c r="H24" s="101">
        <v>52</v>
      </c>
      <c r="I24" s="98" t="s">
        <v>436</v>
      </c>
      <c r="J24" s="98">
        <v>6</v>
      </c>
      <c r="K24" s="102" t="s">
        <v>404</v>
      </c>
    </row>
    <row r="25" spans="1:11" x14ac:dyDescent="0.3">
      <c r="F25" s="104"/>
      <c r="G25" s="104"/>
    </row>
    <row r="26" spans="1:11" ht="14.5" x14ac:dyDescent="0.35">
      <c r="A26" t="s">
        <v>432</v>
      </c>
      <c r="B26" s="98" t="s">
        <v>440</v>
      </c>
      <c r="C26" s="98">
        <v>62</v>
      </c>
      <c r="D26" t="s">
        <v>414</v>
      </c>
      <c r="E26" t="s">
        <v>380</v>
      </c>
      <c r="F26" s="104" t="s">
        <v>413</v>
      </c>
      <c r="G26" s="104" t="s">
        <v>412</v>
      </c>
      <c r="H26">
        <v>156</v>
      </c>
      <c r="I26" s="98" t="s">
        <v>381</v>
      </c>
      <c r="J26">
        <v>30</v>
      </c>
      <c r="K26" t="s">
        <v>321</v>
      </c>
    </row>
    <row r="27" spans="1:11" ht="14.5" x14ac:dyDescent="0.35">
      <c r="A27" t="s">
        <v>433</v>
      </c>
      <c r="B27" s="98" t="s">
        <v>440</v>
      </c>
      <c r="C27" s="98">
        <v>62</v>
      </c>
      <c r="D27" t="s">
        <v>414</v>
      </c>
      <c r="E27" t="s">
        <v>380</v>
      </c>
      <c r="F27" s="104" t="s">
        <v>413</v>
      </c>
      <c r="G27" s="104" t="s">
        <v>412</v>
      </c>
      <c r="H27">
        <v>169</v>
      </c>
      <c r="I27" s="98" t="s">
        <v>381</v>
      </c>
      <c r="J27">
        <v>30</v>
      </c>
      <c r="K27" t="s">
        <v>322</v>
      </c>
    </row>
    <row r="28" spans="1:11" ht="14.5" x14ac:dyDescent="0.35">
      <c r="A28" t="s">
        <v>434</v>
      </c>
      <c r="B28" s="98" t="s">
        <v>440</v>
      </c>
      <c r="C28" s="98">
        <v>59</v>
      </c>
      <c r="D28" t="s">
        <v>381</v>
      </c>
      <c r="E28" t="s">
        <v>381</v>
      </c>
      <c r="F28" s="104" t="s">
        <v>416</v>
      </c>
      <c r="G28" s="104" t="s">
        <v>415</v>
      </c>
      <c r="H28">
        <v>256</v>
      </c>
      <c r="I28" s="98" t="s">
        <v>381</v>
      </c>
      <c r="J28">
        <v>30</v>
      </c>
      <c r="K28" t="s">
        <v>321</v>
      </c>
    </row>
    <row r="29" spans="1:11" ht="14.5" x14ac:dyDescent="0.35">
      <c r="A29" t="s">
        <v>435</v>
      </c>
      <c r="B29" s="98" t="s">
        <v>440</v>
      </c>
      <c r="C29" s="98">
        <v>59</v>
      </c>
      <c r="D29" t="s">
        <v>381</v>
      </c>
      <c r="E29" t="s">
        <v>381</v>
      </c>
      <c r="F29" s="104" t="s">
        <v>416</v>
      </c>
      <c r="G29" s="104" t="s">
        <v>415</v>
      </c>
      <c r="H29">
        <v>245</v>
      </c>
      <c r="I29" s="98" t="s">
        <v>381</v>
      </c>
      <c r="J29">
        <v>30</v>
      </c>
      <c r="K29" t="s">
        <v>322</v>
      </c>
    </row>
    <row r="30" spans="1:11" ht="14.5" x14ac:dyDescent="0.35">
      <c r="A30" t="s">
        <v>434</v>
      </c>
      <c r="B30" s="98" t="s">
        <v>440</v>
      </c>
      <c r="C30" s="98">
        <v>13</v>
      </c>
      <c r="D30" t="s">
        <v>419</v>
      </c>
      <c r="E30" t="s">
        <v>419</v>
      </c>
      <c r="F30" s="104" t="s">
        <v>418</v>
      </c>
      <c r="G30" s="104" t="s">
        <v>417</v>
      </c>
      <c r="H30">
        <v>495</v>
      </c>
      <c r="I30" t="s">
        <v>465</v>
      </c>
      <c r="J30">
        <v>47</v>
      </c>
      <c r="K30" t="s">
        <v>321</v>
      </c>
    </row>
    <row r="31" spans="1:11" ht="14.5" x14ac:dyDescent="0.35">
      <c r="A31" t="s">
        <v>435</v>
      </c>
      <c r="B31" s="98" t="s">
        <v>440</v>
      </c>
      <c r="C31" s="98">
        <v>13</v>
      </c>
      <c r="D31" t="s">
        <v>419</v>
      </c>
      <c r="E31" t="s">
        <v>419</v>
      </c>
      <c r="F31" s="104" t="s">
        <v>418</v>
      </c>
      <c r="G31" s="104" t="s">
        <v>417</v>
      </c>
      <c r="H31">
        <v>497</v>
      </c>
      <c r="I31" t="s">
        <v>465</v>
      </c>
      <c r="J31">
        <v>47</v>
      </c>
      <c r="K31" t="s">
        <v>322</v>
      </c>
    </row>
    <row r="32" spans="1:11" ht="14.5" x14ac:dyDescent="0.35">
      <c r="A32" t="s">
        <v>434</v>
      </c>
      <c r="B32" s="98" t="s">
        <v>440</v>
      </c>
      <c r="C32" s="98">
        <v>29</v>
      </c>
      <c r="D32" t="s">
        <v>422</v>
      </c>
      <c r="E32" t="s">
        <v>422</v>
      </c>
      <c r="F32" s="104" t="s">
        <v>421</v>
      </c>
      <c r="G32" s="104" t="s">
        <v>420</v>
      </c>
      <c r="H32">
        <v>777</v>
      </c>
      <c r="I32" t="s">
        <v>466</v>
      </c>
      <c r="J32">
        <v>3</v>
      </c>
      <c r="K32" t="s">
        <v>321</v>
      </c>
    </row>
    <row r="33" spans="1:11" ht="14.5" x14ac:dyDescent="0.35">
      <c r="A33" t="s">
        <v>435</v>
      </c>
      <c r="B33" s="98" t="s">
        <v>440</v>
      </c>
      <c r="C33" s="98">
        <v>29</v>
      </c>
      <c r="D33" t="s">
        <v>422</v>
      </c>
      <c r="E33" t="s">
        <v>422</v>
      </c>
      <c r="F33" s="104" t="s">
        <v>421</v>
      </c>
      <c r="G33" s="104" t="s">
        <v>420</v>
      </c>
      <c r="H33">
        <v>778</v>
      </c>
      <c r="I33" t="s">
        <v>466</v>
      </c>
      <c r="J33">
        <v>3</v>
      </c>
      <c r="K33" t="s">
        <v>322</v>
      </c>
    </row>
    <row r="34" spans="1:11" ht="14.5" x14ac:dyDescent="0.35">
      <c r="A34" t="s">
        <v>434</v>
      </c>
      <c r="B34" s="98" t="s">
        <v>440</v>
      </c>
      <c r="C34" s="98">
        <v>21</v>
      </c>
      <c r="D34" t="s">
        <v>425</v>
      </c>
      <c r="E34" t="s">
        <v>426</v>
      </c>
      <c r="F34" s="104" t="s">
        <v>424</v>
      </c>
      <c r="G34" s="104" t="s">
        <v>423</v>
      </c>
      <c r="H34">
        <v>885</v>
      </c>
      <c r="I34" t="s">
        <v>466</v>
      </c>
      <c r="J34">
        <v>3</v>
      </c>
      <c r="K34" t="s">
        <v>321</v>
      </c>
    </row>
    <row r="35" spans="1:11" ht="14.5" x14ac:dyDescent="0.35">
      <c r="A35" t="s">
        <v>435</v>
      </c>
      <c r="B35" s="98" t="s">
        <v>440</v>
      </c>
      <c r="C35" s="98">
        <v>21</v>
      </c>
      <c r="D35" t="s">
        <v>425</v>
      </c>
      <c r="E35" t="s">
        <v>426</v>
      </c>
      <c r="F35" s="104" t="s">
        <v>424</v>
      </c>
      <c r="G35" s="104" t="s">
        <v>423</v>
      </c>
      <c r="H35">
        <v>890</v>
      </c>
      <c r="I35" t="s">
        <v>466</v>
      </c>
      <c r="J35">
        <v>3</v>
      </c>
      <c r="K35" t="s">
        <v>322</v>
      </c>
    </row>
    <row r="36" spans="1:11" ht="14.5" x14ac:dyDescent="0.35">
      <c r="A36" t="s">
        <v>434</v>
      </c>
      <c r="B36" s="98" t="s">
        <v>440</v>
      </c>
      <c r="C36" s="98">
        <v>35</v>
      </c>
      <c r="D36" t="s">
        <v>429</v>
      </c>
      <c r="E36" t="s">
        <v>429</v>
      </c>
      <c r="F36" s="104" t="s">
        <v>428</v>
      </c>
      <c r="G36" s="104" t="s">
        <v>427</v>
      </c>
      <c r="H36">
        <v>973</v>
      </c>
      <c r="I36" t="s">
        <v>467</v>
      </c>
      <c r="J36">
        <v>14</v>
      </c>
      <c r="K36" t="s">
        <v>321</v>
      </c>
    </row>
    <row r="37" spans="1:11" ht="14.5" x14ac:dyDescent="0.35">
      <c r="A37" t="s">
        <v>435</v>
      </c>
      <c r="B37" s="98" t="s">
        <v>440</v>
      </c>
      <c r="C37" s="98">
        <v>35</v>
      </c>
      <c r="D37" t="s">
        <v>429</v>
      </c>
      <c r="E37" t="s">
        <v>429</v>
      </c>
      <c r="F37" s="104" t="s">
        <v>428</v>
      </c>
      <c r="G37" s="104" t="s">
        <v>427</v>
      </c>
      <c r="H37">
        <v>1015</v>
      </c>
      <c r="I37" t="s">
        <v>467</v>
      </c>
      <c r="J37">
        <v>14</v>
      </c>
      <c r="K37" t="s">
        <v>322</v>
      </c>
    </row>
    <row r="38" spans="1:11" ht="14.5" x14ac:dyDescent="0.35">
      <c r="A38" t="s">
        <v>437</v>
      </c>
      <c r="B38" s="98" t="s">
        <v>549</v>
      </c>
      <c r="C38" s="98">
        <v>49</v>
      </c>
      <c r="D38" t="s">
        <v>431</v>
      </c>
      <c r="E38" t="s">
        <v>389</v>
      </c>
      <c r="F38" s="104" t="s">
        <v>442</v>
      </c>
      <c r="G38" s="104" t="s">
        <v>441</v>
      </c>
      <c r="H38">
        <v>2</v>
      </c>
      <c r="I38" t="s">
        <v>468</v>
      </c>
      <c r="J38">
        <v>48</v>
      </c>
      <c r="K38" t="s">
        <v>321</v>
      </c>
    </row>
    <row r="39" spans="1:11" ht="14.5" x14ac:dyDescent="0.35">
      <c r="A39" t="s">
        <v>438</v>
      </c>
      <c r="B39" s="98" t="s">
        <v>549</v>
      </c>
      <c r="C39" s="98">
        <v>49</v>
      </c>
      <c r="D39" t="s">
        <v>431</v>
      </c>
      <c r="E39" t="s">
        <v>389</v>
      </c>
      <c r="F39" s="104" t="s">
        <v>442</v>
      </c>
      <c r="G39" s="104" t="s">
        <v>441</v>
      </c>
      <c r="H39">
        <v>2</v>
      </c>
      <c r="I39" t="s">
        <v>468</v>
      </c>
      <c r="J39">
        <v>48</v>
      </c>
      <c r="K39" t="s">
        <v>322</v>
      </c>
    </row>
    <row r="41" spans="1:11" ht="14.5" x14ac:dyDescent="0.35">
      <c r="A41" t="s">
        <v>469</v>
      </c>
      <c r="B41" s="98" t="s">
        <v>440</v>
      </c>
      <c r="C41" s="98">
        <v>62</v>
      </c>
      <c r="D41" t="s">
        <v>414</v>
      </c>
      <c r="E41" t="s">
        <v>380</v>
      </c>
      <c r="F41" t="s">
        <v>413</v>
      </c>
      <c r="G41" t="s">
        <v>412</v>
      </c>
      <c r="H41">
        <v>156</v>
      </c>
      <c r="I41" t="s">
        <v>381</v>
      </c>
      <c r="J41">
        <v>30</v>
      </c>
      <c r="K41" t="s">
        <v>330</v>
      </c>
    </row>
    <row r="42" spans="1:11" ht="14.5" x14ac:dyDescent="0.35">
      <c r="A42" t="s">
        <v>470</v>
      </c>
      <c r="B42" s="98" t="s">
        <v>440</v>
      </c>
      <c r="C42" s="98">
        <v>62</v>
      </c>
      <c r="D42" t="s">
        <v>414</v>
      </c>
      <c r="E42" t="s">
        <v>380</v>
      </c>
      <c r="F42" t="s">
        <v>413</v>
      </c>
      <c r="G42" t="s">
        <v>412</v>
      </c>
      <c r="H42">
        <v>160</v>
      </c>
      <c r="I42" t="s">
        <v>381</v>
      </c>
      <c r="J42">
        <v>30</v>
      </c>
      <c r="K42" t="s">
        <v>330</v>
      </c>
    </row>
    <row r="43" spans="1:11" ht="14.5" x14ac:dyDescent="0.35">
      <c r="A43" t="s">
        <v>471</v>
      </c>
      <c r="B43" s="98" t="s">
        <v>440</v>
      </c>
      <c r="C43" s="98">
        <v>12</v>
      </c>
      <c r="D43" t="s">
        <v>474</v>
      </c>
      <c r="E43" t="s">
        <v>475</v>
      </c>
      <c r="F43" t="s">
        <v>473</v>
      </c>
      <c r="G43" t="s">
        <v>472</v>
      </c>
      <c r="H43">
        <v>280</v>
      </c>
      <c r="I43" t="s">
        <v>475</v>
      </c>
      <c r="J43">
        <v>57</v>
      </c>
      <c r="K43" t="s">
        <v>330</v>
      </c>
    </row>
    <row r="44" spans="1:11" ht="14.5" x14ac:dyDescent="0.35">
      <c r="A44" t="s">
        <v>476</v>
      </c>
      <c r="B44" s="98" t="s">
        <v>440</v>
      </c>
      <c r="C44" s="98">
        <v>6</v>
      </c>
      <c r="D44" t="s">
        <v>478</v>
      </c>
      <c r="E44" t="s">
        <v>478</v>
      </c>
      <c r="F44" t="s">
        <v>477</v>
      </c>
      <c r="G44" t="s">
        <v>412</v>
      </c>
      <c r="H44">
        <v>495</v>
      </c>
      <c r="I44" t="s">
        <v>484</v>
      </c>
      <c r="J44">
        <v>7</v>
      </c>
      <c r="K44" t="s">
        <v>330</v>
      </c>
    </row>
    <row r="45" spans="1:11" ht="14.5" x14ac:dyDescent="0.35">
      <c r="A45" t="s">
        <v>479</v>
      </c>
      <c r="B45" s="98" t="s">
        <v>440</v>
      </c>
      <c r="C45" s="98">
        <v>6</v>
      </c>
      <c r="D45" t="s">
        <v>478</v>
      </c>
      <c r="E45" t="s">
        <v>478</v>
      </c>
      <c r="F45" t="s">
        <v>477</v>
      </c>
      <c r="G45" t="s">
        <v>412</v>
      </c>
      <c r="H45">
        <v>500</v>
      </c>
      <c r="I45" t="s">
        <v>484</v>
      </c>
      <c r="J45">
        <v>7</v>
      </c>
      <c r="K45" t="s">
        <v>330</v>
      </c>
    </row>
    <row r="46" spans="1:11" ht="14.5" x14ac:dyDescent="0.35">
      <c r="A46" t="s">
        <v>480</v>
      </c>
      <c r="B46" s="98" t="s">
        <v>440</v>
      </c>
      <c r="C46" s="98">
        <v>3</v>
      </c>
      <c r="D46" t="s">
        <v>483</v>
      </c>
      <c r="E46" t="s">
        <v>483</v>
      </c>
      <c r="F46" t="s">
        <v>482</v>
      </c>
      <c r="G46" t="s">
        <v>481</v>
      </c>
      <c r="H46">
        <v>580</v>
      </c>
      <c r="I46" t="s">
        <v>485</v>
      </c>
      <c r="J46">
        <v>5</v>
      </c>
      <c r="K46" t="s">
        <v>330</v>
      </c>
    </row>
    <row r="48" spans="1:11" ht="14.5" x14ac:dyDescent="0.35">
      <c r="A48" t="s">
        <v>486</v>
      </c>
      <c r="B48" s="98" t="s">
        <v>440</v>
      </c>
      <c r="C48" s="98">
        <v>62</v>
      </c>
      <c r="D48" t="s">
        <v>414</v>
      </c>
      <c r="E48" t="s">
        <v>380</v>
      </c>
      <c r="F48" t="s">
        <v>413</v>
      </c>
      <c r="G48" t="s">
        <v>412</v>
      </c>
      <c r="H48">
        <v>156</v>
      </c>
      <c r="I48" t="s">
        <v>381</v>
      </c>
      <c r="J48">
        <v>30</v>
      </c>
      <c r="K48" t="s">
        <v>331</v>
      </c>
    </row>
    <row r="49" spans="1:11" ht="14.5" x14ac:dyDescent="0.35">
      <c r="A49" t="s">
        <v>487</v>
      </c>
      <c r="B49" s="98" t="s">
        <v>440</v>
      </c>
      <c r="C49" s="98">
        <v>12</v>
      </c>
      <c r="D49" t="s">
        <v>474</v>
      </c>
      <c r="E49" t="s">
        <v>474</v>
      </c>
      <c r="F49" t="s">
        <v>473</v>
      </c>
      <c r="G49" t="s">
        <v>472</v>
      </c>
      <c r="H49">
        <v>280</v>
      </c>
      <c r="I49" t="s">
        <v>475</v>
      </c>
      <c r="J49">
        <v>57</v>
      </c>
      <c r="K49" t="s">
        <v>331</v>
      </c>
    </row>
    <row r="50" spans="1:11" ht="14.5" x14ac:dyDescent="0.35">
      <c r="A50" t="s">
        <v>488</v>
      </c>
      <c r="B50" s="98" t="s">
        <v>440</v>
      </c>
      <c r="C50" s="98">
        <v>7</v>
      </c>
      <c r="D50" t="s">
        <v>491</v>
      </c>
      <c r="E50" t="s">
        <v>492</v>
      </c>
      <c r="F50" t="s">
        <v>490</v>
      </c>
      <c r="G50" t="s">
        <v>489</v>
      </c>
      <c r="H50">
        <v>495</v>
      </c>
      <c r="I50" t="s">
        <v>484</v>
      </c>
      <c r="J50">
        <v>7</v>
      </c>
      <c r="K50" t="s">
        <v>331</v>
      </c>
    </row>
    <row r="51" spans="1:11" ht="14.5" x14ac:dyDescent="0.35">
      <c r="A51" t="s">
        <v>493</v>
      </c>
      <c r="B51" s="98" t="s">
        <v>440</v>
      </c>
      <c r="C51" s="98">
        <v>32</v>
      </c>
      <c r="D51" t="s">
        <v>496</v>
      </c>
      <c r="E51" t="s">
        <v>496</v>
      </c>
      <c r="F51" t="s">
        <v>495</v>
      </c>
      <c r="G51" t="s">
        <v>494</v>
      </c>
      <c r="H51">
        <v>600</v>
      </c>
      <c r="I51" t="s">
        <v>496</v>
      </c>
      <c r="J51">
        <v>28</v>
      </c>
      <c r="K51" t="s">
        <v>331</v>
      </c>
    </row>
    <row r="52" spans="1:11" ht="14.5" x14ac:dyDescent="0.35">
      <c r="A52" t="s">
        <v>497</v>
      </c>
      <c r="B52" s="98" t="s">
        <v>440</v>
      </c>
      <c r="C52" s="98">
        <v>9</v>
      </c>
      <c r="D52" t="s">
        <v>500</v>
      </c>
      <c r="E52" t="s">
        <v>500</v>
      </c>
      <c r="F52" t="s">
        <v>499</v>
      </c>
      <c r="G52" t="s">
        <v>498</v>
      </c>
      <c r="H52">
        <v>450</v>
      </c>
      <c r="I52" t="s">
        <v>501</v>
      </c>
      <c r="J52">
        <v>10</v>
      </c>
      <c r="K52" t="s">
        <v>333</v>
      </c>
    </row>
    <row r="54" spans="1:11" ht="14.5" x14ac:dyDescent="0.35">
      <c r="A54" t="s">
        <v>502</v>
      </c>
      <c r="B54" s="98" t="s">
        <v>440</v>
      </c>
      <c r="C54" s="98">
        <v>14</v>
      </c>
      <c r="D54" t="s">
        <v>505</v>
      </c>
      <c r="E54" t="s">
        <v>505</v>
      </c>
      <c r="F54" t="s">
        <v>504</v>
      </c>
      <c r="G54" t="s">
        <v>503</v>
      </c>
      <c r="H54">
        <v>420</v>
      </c>
      <c r="I54" t="s">
        <v>510</v>
      </c>
      <c r="J54">
        <v>33</v>
      </c>
      <c r="K54" t="s">
        <v>332</v>
      </c>
    </row>
    <row r="55" spans="1:11" ht="14.5" x14ac:dyDescent="0.35">
      <c r="A55" t="s">
        <v>506</v>
      </c>
      <c r="B55" s="98" t="s">
        <v>440</v>
      </c>
      <c r="C55" s="98">
        <v>16</v>
      </c>
      <c r="D55" t="s">
        <v>509</v>
      </c>
      <c r="E55" t="s">
        <v>509</v>
      </c>
      <c r="F55" t="s">
        <v>508</v>
      </c>
      <c r="G55" t="s">
        <v>507</v>
      </c>
      <c r="H55">
        <v>350</v>
      </c>
      <c r="I55" t="s">
        <v>510</v>
      </c>
      <c r="J55">
        <v>33</v>
      </c>
      <c r="K55" t="s">
        <v>332</v>
      </c>
    </row>
    <row r="57" spans="1:11" ht="14.5" x14ac:dyDescent="0.35">
      <c r="A57" t="s">
        <v>511</v>
      </c>
      <c r="B57" s="98" t="s">
        <v>440</v>
      </c>
      <c r="C57" s="98">
        <v>14</v>
      </c>
      <c r="D57" t="s">
        <v>505</v>
      </c>
      <c r="E57" t="s">
        <v>505</v>
      </c>
      <c r="F57" t="s">
        <v>504</v>
      </c>
      <c r="G57" t="s">
        <v>503</v>
      </c>
      <c r="H57">
        <v>420</v>
      </c>
      <c r="I57" t="s">
        <v>510</v>
      </c>
      <c r="J57">
        <v>33</v>
      </c>
      <c r="K57" t="s">
        <v>323</v>
      </c>
    </row>
    <row r="58" spans="1:11" ht="14.5" x14ac:dyDescent="0.35">
      <c r="A58" t="s">
        <v>512</v>
      </c>
      <c r="B58" s="98" t="s">
        <v>440</v>
      </c>
      <c r="C58" s="98">
        <v>17</v>
      </c>
      <c r="D58" t="s">
        <v>515</v>
      </c>
      <c r="E58" t="s">
        <v>516</v>
      </c>
      <c r="F58" t="s">
        <v>514</v>
      </c>
      <c r="G58" t="s">
        <v>513</v>
      </c>
      <c r="H58">
        <v>380</v>
      </c>
      <c r="I58" t="s">
        <v>510</v>
      </c>
      <c r="J58">
        <v>33</v>
      </c>
      <c r="K58" t="s">
        <v>323</v>
      </c>
    </row>
    <row r="59" spans="1:11" ht="14.5" x14ac:dyDescent="0.35">
      <c r="A59" t="s">
        <v>517</v>
      </c>
      <c r="B59" s="98" t="s">
        <v>440</v>
      </c>
      <c r="C59" s="98">
        <v>57</v>
      </c>
      <c r="D59" t="s">
        <v>520</v>
      </c>
      <c r="E59" t="s">
        <v>380</v>
      </c>
      <c r="F59" t="s">
        <v>519</v>
      </c>
      <c r="G59" t="s">
        <v>518</v>
      </c>
      <c r="H59">
        <v>267</v>
      </c>
      <c r="I59" t="s">
        <v>381</v>
      </c>
      <c r="J59">
        <v>30</v>
      </c>
      <c r="K59" t="s">
        <v>323</v>
      </c>
    </row>
    <row r="61" spans="1:11" ht="14.5" x14ac:dyDescent="0.35">
      <c r="A61" t="s">
        <v>527</v>
      </c>
      <c r="B61" s="98" t="s">
        <v>440</v>
      </c>
      <c r="C61" s="98">
        <v>56</v>
      </c>
      <c r="D61" t="s">
        <v>523</v>
      </c>
      <c r="E61" t="s">
        <v>523</v>
      </c>
      <c r="F61" t="s">
        <v>522</v>
      </c>
      <c r="G61" t="s">
        <v>521</v>
      </c>
      <c r="H61">
        <v>246</v>
      </c>
      <c r="I61" t="s">
        <v>381</v>
      </c>
      <c r="J61">
        <v>30</v>
      </c>
      <c r="K61" t="s">
        <v>326</v>
      </c>
    </row>
    <row r="62" spans="1:11" ht="14.5" x14ac:dyDescent="0.35">
      <c r="A62" t="s">
        <v>528</v>
      </c>
      <c r="B62" s="98" t="s">
        <v>440</v>
      </c>
      <c r="C62" s="98">
        <v>49</v>
      </c>
      <c r="D62" t="s">
        <v>526</v>
      </c>
      <c r="E62" t="s">
        <v>526</v>
      </c>
      <c r="F62" t="s">
        <v>525</v>
      </c>
      <c r="G62" t="s">
        <v>524</v>
      </c>
      <c r="H62">
        <v>172</v>
      </c>
      <c r="I62" t="s">
        <v>381</v>
      </c>
      <c r="J62">
        <v>30</v>
      </c>
      <c r="K62" t="s">
        <v>324</v>
      </c>
    </row>
    <row r="64" spans="1:11" ht="14.5" x14ac:dyDescent="0.35">
      <c r="A64" t="s">
        <v>529</v>
      </c>
      <c r="B64" s="98" t="s">
        <v>440</v>
      </c>
      <c r="C64" s="98">
        <v>61</v>
      </c>
      <c r="D64" t="s">
        <v>532</v>
      </c>
      <c r="E64" t="s">
        <v>380</v>
      </c>
      <c r="F64" t="s">
        <v>531</v>
      </c>
      <c r="G64" t="s">
        <v>530</v>
      </c>
      <c r="H64">
        <v>185</v>
      </c>
      <c r="I64" t="s">
        <v>381</v>
      </c>
      <c r="J64">
        <v>30</v>
      </c>
      <c r="K64" t="s">
        <v>325</v>
      </c>
    </row>
    <row r="65" spans="1:11" ht="14.5" x14ac:dyDescent="0.35">
      <c r="A65" t="s">
        <v>533</v>
      </c>
      <c r="B65" s="98" t="s">
        <v>440</v>
      </c>
      <c r="C65" s="98">
        <v>58</v>
      </c>
      <c r="D65" t="s">
        <v>536</v>
      </c>
      <c r="E65" t="s">
        <v>536</v>
      </c>
      <c r="F65" t="s">
        <v>535</v>
      </c>
      <c r="G65" t="s">
        <v>534</v>
      </c>
      <c r="H65">
        <v>182</v>
      </c>
      <c r="I65" t="s">
        <v>381</v>
      </c>
      <c r="J65">
        <v>30</v>
      </c>
      <c r="K65" t="s">
        <v>329</v>
      </c>
    </row>
    <row r="67" spans="1:11" ht="14.5" x14ac:dyDescent="0.35">
      <c r="A67" t="s">
        <v>537</v>
      </c>
      <c r="B67" s="98" t="s">
        <v>440</v>
      </c>
      <c r="C67" s="98">
        <v>29</v>
      </c>
      <c r="D67" t="s">
        <v>422</v>
      </c>
      <c r="E67" t="s">
        <v>422</v>
      </c>
      <c r="F67" t="s">
        <v>421</v>
      </c>
      <c r="G67" t="s">
        <v>420</v>
      </c>
      <c r="H67">
        <v>780</v>
      </c>
      <c r="I67" t="s">
        <v>543</v>
      </c>
      <c r="J67">
        <v>3</v>
      </c>
      <c r="K67" t="s">
        <v>343</v>
      </c>
    </row>
    <row r="68" spans="1:11" ht="14.5" x14ac:dyDescent="0.35">
      <c r="A68" t="s">
        <v>538</v>
      </c>
      <c r="B68" s="98" t="s">
        <v>440</v>
      </c>
      <c r="C68" s="98">
        <v>20</v>
      </c>
      <c r="D68" t="s">
        <v>425</v>
      </c>
      <c r="E68" t="s">
        <v>426</v>
      </c>
      <c r="F68" t="s">
        <v>424</v>
      </c>
      <c r="G68" t="s">
        <v>423</v>
      </c>
      <c r="H68">
        <v>880</v>
      </c>
      <c r="I68" t="s">
        <v>543</v>
      </c>
      <c r="J68">
        <v>3</v>
      </c>
      <c r="K68" t="s">
        <v>343</v>
      </c>
    </row>
    <row r="69" spans="1:11" ht="14.5" x14ac:dyDescent="0.35">
      <c r="A69" t="s">
        <v>539</v>
      </c>
      <c r="B69" s="98" t="s">
        <v>440</v>
      </c>
      <c r="C69" s="98">
        <v>45</v>
      </c>
      <c r="D69" t="s">
        <v>542</v>
      </c>
      <c r="E69" t="s">
        <v>542</v>
      </c>
      <c r="F69" t="s">
        <v>541</v>
      </c>
      <c r="G69" t="s">
        <v>540</v>
      </c>
      <c r="H69">
        <v>983</v>
      </c>
      <c r="I69" t="s">
        <v>467</v>
      </c>
      <c r="J69">
        <v>14</v>
      </c>
      <c r="K69" t="s">
        <v>343</v>
      </c>
    </row>
    <row r="70" spans="1:11" ht="14.5" x14ac:dyDescent="0.35">
      <c r="A70" t="s">
        <v>544</v>
      </c>
      <c r="B70" s="98" t="s">
        <v>549</v>
      </c>
      <c r="C70" s="98">
        <v>49</v>
      </c>
      <c r="D70" t="s">
        <v>431</v>
      </c>
      <c r="E70" t="s">
        <v>389</v>
      </c>
      <c r="F70" s="104" t="s">
        <v>442</v>
      </c>
      <c r="G70" s="104" t="s">
        <v>441</v>
      </c>
      <c r="H70">
        <v>2</v>
      </c>
      <c r="I70" t="s">
        <v>468</v>
      </c>
      <c r="J70">
        <v>48</v>
      </c>
      <c r="K70" t="s">
        <v>343</v>
      </c>
    </row>
    <row r="71" spans="1:11" ht="14.5" x14ac:dyDescent="0.35">
      <c r="B71" s="98"/>
      <c r="C71" s="98"/>
      <c r="F71" s="104"/>
      <c r="G71" s="104"/>
    </row>
    <row r="72" spans="1:11" ht="14.5" x14ac:dyDescent="0.35">
      <c r="A72" t="s">
        <v>545</v>
      </c>
      <c r="B72" s="98" t="s">
        <v>440</v>
      </c>
      <c r="C72" s="98">
        <v>62</v>
      </c>
      <c r="D72" t="s">
        <v>414</v>
      </c>
      <c r="E72" t="s">
        <v>380</v>
      </c>
      <c r="F72" t="s">
        <v>413</v>
      </c>
      <c r="G72" t="s">
        <v>412</v>
      </c>
      <c r="H72">
        <v>172</v>
      </c>
      <c r="I72" t="s">
        <v>548</v>
      </c>
      <c r="J72">
        <v>30</v>
      </c>
      <c r="K72" t="s">
        <v>345</v>
      </c>
    </row>
    <row r="73" spans="1:11" ht="14.5" x14ac:dyDescent="0.35">
      <c r="A73" t="s">
        <v>546</v>
      </c>
      <c r="B73" s="98" t="s">
        <v>440</v>
      </c>
      <c r="C73" s="98">
        <v>7</v>
      </c>
      <c r="D73" t="s">
        <v>547</v>
      </c>
      <c r="E73" t="s">
        <v>492</v>
      </c>
      <c r="F73" t="s">
        <v>490</v>
      </c>
      <c r="G73" t="s">
        <v>489</v>
      </c>
      <c r="H73">
        <v>185</v>
      </c>
      <c r="I73" t="s">
        <v>484</v>
      </c>
      <c r="J73">
        <v>7</v>
      </c>
      <c r="K73" t="s">
        <v>345</v>
      </c>
    </row>
    <row r="75" spans="1:11" ht="14.5" x14ac:dyDescent="0.35">
      <c r="A75" t="s">
        <v>553</v>
      </c>
      <c r="B75" s="98" t="s">
        <v>440</v>
      </c>
      <c r="C75" s="98">
        <v>30</v>
      </c>
      <c r="D75" t="s">
        <v>422</v>
      </c>
      <c r="E75" t="s">
        <v>422</v>
      </c>
      <c r="F75" s="104" t="s">
        <v>596</v>
      </c>
      <c r="G75" s="104" t="s">
        <v>595</v>
      </c>
      <c r="H75">
        <v>777</v>
      </c>
      <c r="I75" t="s">
        <v>543</v>
      </c>
      <c r="J75">
        <v>3</v>
      </c>
      <c r="K75" t="s">
        <v>339</v>
      </c>
    </row>
    <row r="76" spans="1:11" ht="14.5" x14ac:dyDescent="0.35">
      <c r="A76" t="s">
        <v>554</v>
      </c>
      <c r="B76" s="98" t="s">
        <v>440</v>
      </c>
      <c r="C76" s="98">
        <v>21</v>
      </c>
      <c r="D76" t="s">
        <v>425</v>
      </c>
      <c r="E76" t="s">
        <v>543</v>
      </c>
      <c r="F76" s="104" t="s">
        <v>598</v>
      </c>
      <c r="G76" s="104" t="s">
        <v>597</v>
      </c>
      <c r="H76">
        <v>885</v>
      </c>
      <c r="I76" t="s">
        <v>543</v>
      </c>
      <c r="J76">
        <v>3</v>
      </c>
      <c r="K76" t="s">
        <v>339</v>
      </c>
    </row>
    <row r="77" spans="1:11" ht="14.5" x14ac:dyDescent="0.35">
      <c r="A77" t="s">
        <v>555</v>
      </c>
      <c r="B77" s="98" t="s">
        <v>440</v>
      </c>
      <c r="C77" s="98">
        <v>44</v>
      </c>
      <c r="D77" t="s">
        <v>550</v>
      </c>
      <c r="E77" t="s">
        <v>550</v>
      </c>
      <c r="F77" s="104" t="s">
        <v>599</v>
      </c>
      <c r="G77" s="104" t="s">
        <v>577</v>
      </c>
      <c r="H77">
        <v>185</v>
      </c>
      <c r="I77" t="s">
        <v>467</v>
      </c>
      <c r="J77">
        <v>14</v>
      </c>
      <c r="K77" t="s">
        <v>339</v>
      </c>
    </row>
    <row r="78" spans="1:11" ht="14.5" x14ac:dyDescent="0.35">
      <c r="A78" t="s">
        <v>556</v>
      </c>
      <c r="B78" s="98" t="s">
        <v>440</v>
      </c>
      <c r="C78" s="98">
        <v>30</v>
      </c>
      <c r="D78" t="s">
        <v>422</v>
      </c>
      <c r="E78" t="s">
        <v>422</v>
      </c>
      <c r="F78" s="104" t="s">
        <v>596</v>
      </c>
      <c r="G78" s="104" t="s">
        <v>595</v>
      </c>
      <c r="H78">
        <v>777</v>
      </c>
      <c r="I78" t="s">
        <v>543</v>
      </c>
      <c r="J78">
        <v>3</v>
      </c>
      <c r="K78" t="s">
        <v>337</v>
      </c>
    </row>
    <row r="79" spans="1:11" ht="14.5" x14ac:dyDescent="0.35">
      <c r="A79" t="s">
        <v>557</v>
      </c>
      <c r="B79" s="98" t="s">
        <v>440</v>
      </c>
      <c r="C79" s="98">
        <v>21</v>
      </c>
      <c r="D79" t="s">
        <v>425</v>
      </c>
      <c r="E79" t="s">
        <v>543</v>
      </c>
      <c r="F79" s="104" t="s">
        <v>598</v>
      </c>
      <c r="G79" s="104" t="s">
        <v>597</v>
      </c>
      <c r="H79">
        <v>885</v>
      </c>
      <c r="I79" t="s">
        <v>543</v>
      </c>
      <c r="J79">
        <v>3</v>
      </c>
      <c r="K79" t="s">
        <v>337</v>
      </c>
    </row>
    <row r="80" spans="1:11" ht="14.5" x14ac:dyDescent="0.35">
      <c r="A80" t="s">
        <v>558</v>
      </c>
      <c r="B80" s="98" t="s">
        <v>440</v>
      </c>
      <c r="C80" s="98">
        <v>30</v>
      </c>
      <c r="D80" t="s">
        <v>422</v>
      </c>
      <c r="E80" t="s">
        <v>422</v>
      </c>
      <c r="F80" s="104" t="s">
        <v>596</v>
      </c>
      <c r="G80" s="104" t="s">
        <v>595</v>
      </c>
      <c r="H80">
        <v>777</v>
      </c>
      <c r="I80" t="s">
        <v>543</v>
      </c>
      <c r="J80">
        <v>3</v>
      </c>
      <c r="K80" t="s">
        <v>338</v>
      </c>
    </row>
    <row r="81" spans="1:11" ht="14.5" x14ac:dyDescent="0.35">
      <c r="A81" t="s">
        <v>559</v>
      </c>
      <c r="B81" s="98" t="s">
        <v>549</v>
      </c>
      <c r="C81" s="98">
        <v>43</v>
      </c>
      <c r="D81" t="s">
        <v>542</v>
      </c>
      <c r="E81" t="s">
        <v>552</v>
      </c>
      <c r="F81" s="104" t="s">
        <v>601</v>
      </c>
      <c r="G81" s="104" t="s">
        <v>600</v>
      </c>
      <c r="H81">
        <v>1080</v>
      </c>
      <c r="I81" t="s">
        <v>467</v>
      </c>
      <c r="J81">
        <v>14</v>
      </c>
      <c r="K81" t="s">
        <v>551</v>
      </c>
    </row>
    <row r="83" spans="1:11" ht="14.5" x14ac:dyDescent="0.35">
      <c r="A83" t="s">
        <v>569</v>
      </c>
      <c r="B83" s="98" t="s">
        <v>440</v>
      </c>
      <c r="C83" s="98">
        <v>15</v>
      </c>
      <c r="D83" t="s">
        <v>562</v>
      </c>
      <c r="E83" t="s">
        <v>563</v>
      </c>
      <c r="F83" t="s">
        <v>561</v>
      </c>
      <c r="G83" t="s">
        <v>560</v>
      </c>
      <c r="H83">
        <v>252</v>
      </c>
      <c r="I83" t="s">
        <v>510</v>
      </c>
      <c r="J83">
        <v>33</v>
      </c>
      <c r="K83" t="s">
        <v>340</v>
      </c>
    </row>
    <row r="84" spans="1:11" ht="14.5" x14ac:dyDescent="0.35">
      <c r="A84" t="s">
        <v>570</v>
      </c>
      <c r="B84" s="98" t="s">
        <v>440</v>
      </c>
      <c r="C84" s="98">
        <v>63</v>
      </c>
      <c r="D84" t="s">
        <v>414</v>
      </c>
      <c r="E84" t="s">
        <v>380</v>
      </c>
      <c r="F84" t="s">
        <v>565</v>
      </c>
      <c r="G84" t="s">
        <v>564</v>
      </c>
      <c r="H84">
        <v>151</v>
      </c>
      <c r="I84" t="s">
        <v>381</v>
      </c>
      <c r="J84">
        <v>30</v>
      </c>
      <c r="K84" t="s">
        <v>340</v>
      </c>
    </row>
    <row r="85" spans="1:11" ht="14.5" x14ac:dyDescent="0.35">
      <c r="A85" t="s">
        <v>570</v>
      </c>
      <c r="B85" s="98" t="s">
        <v>440</v>
      </c>
      <c r="C85" s="98">
        <v>63</v>
      </c>
      <c r="D85" t="s">
        <v>414</v>
      </c>
      <c r="E85" t="s">
        <v>380</v>
      </c>
      <c r="F85" t="s">
        <v>565</v>
      </c>
      <c r="G85" t="s">
        <v>564</v>
      </c>
      <c r="H85">
        <v>151</v>
      </c>
      <c r="I85" t="s">
        <v>381</v>
      </c>
      <c r="J85">
        <v>30</v>
      </c>
      <c r="K85" t="s">
        <v>341</v>
      </c>
    </row>
    <row r="86" spans="1:11" ht="14.5" x14ac:dyDescent="0.35">
      <c r="A86" t="s">
        <v>571</v>
      </c>
      <c r="B86" s="98" t="s">
        <v>440</v>
      </c>
      <c r="C86" s="98">
        <v>60</v>
      </c>
      <c r="D86" t="s">
        <v>381</v>
      </c>
      <c r="E86" t="s">
        <v>381</v>
      </c>
      <c r="F86" t="s">
        <v>567</v>
      </c>
      <c r="G86" t="s">
        <v>566</v>
      </c>
      <c r="H86">
        <v>260</v>
      </c>
      <c r="I86" t="s">
        <v>381</v>
      </c>
      <c r="J86">
        <v>30</v>
      </c>
      <c r="K86" t="s">
        <v>340</v>
      </c>
    </row>
    <row r="87" spans="1:11" ht="14.5" x14ac:dyDescent="0.35">
      <c r="A87" t="s">
        <v>572</v>
      </c>
      <c r="B87" s="98" t="s">
        <v>440</v>
      </c>
      <c r="C87" s="98">
        <v>63</v>
      </c>
      <c r="D87" t="s">
        <v>414</v>
      </c>
      <c r="E87" t="s">
        <v>380</v>
      </c>
      <c r="F87" t="s">
        <v>565</v>
      </c>
      <c r="G87" t="s">
        <v>564</v>
      </c>
      <c r="H87">
        <v>146</v>
      </c>
      <c r="I87" t="s">
        <v>381</v>
      </c>
      <c r="J87">
        <v>30</v>
      </c>
      <c r="K87" t="s">
        <v>339</v>
      </c>
    </row>
    <row r="88" spans="1:11" ht="14.5" x14ac:dyDescent="0.35">
      <c r="A88" t="s">
        <v>573</v>
      </c>
      <c r="B88" s="98" t="s">
        <v>440</v>
      </c>
      <c r="C88" s="98">
        <v>13</v>
      </c>
      <c r="D88" t="s">
        <v>568</v>
      </c>
      <c r="E88" t="s">
        <v>568</v>
      </c>
      <c r="F88" t="s">
        <v>418</v>
      </c>
      <c r="G88" t="s">
        <v>417</v>
      </c>
      <c r="H88">
        <v>496</v>
      </c>
      <c r="I88" t="s">
        <v>465</v>
      </c>
      <c r="J88">
        <v>47</v>
      </c>
      <c r="K88" t="s">
        <v>339</v>
      </c>
    </row>
    <row r="90" spans="1:11" ht="14.5" x14ac:dyDescent="0.35">
      <c r="A90" t="s">
        <v>590</v>
      </c>
      <c r="B90" s="98" t="s">
        <v>589</v>
      </c>
      <c r="C90" s="98">
        <v>21</v>
      </c>
      <c r="D90" t="s">
        <v>425</v>
      </c>
      <c r="E90" t="s">
        <v>543</v>
      </c>
      <c r="F90" t="s">
        <v>575</v>
      </c>
      <c r="G90" t="s">
        <v>574</v>
      </c>
      <c r="H90" t="s">
        <v>576</v>
      </c>
      <c r="I90" t="s">
        <v>543</v>
      </c>
      <c r="J90">
        <v>3</v>
      </c>
      <c r="K90" t="s">
        <v>294</v>
      </c>
    </row>
    <row r="91" spans="1:11" ht="14.5" x14ac:dyDescent="0.35">
      <c r="A91" t="s">
        <v>591</v>
      </c>
      <c r="B91" s="98" t="s">
        <v>589</v>
      </c>
      <c r="C91" s="98">
        <v>39</v>
      </c>
      <c r="D91" t="s">
        <v>594</v>
      </c>
      <c r="E91" t="s">
        <v>550</v>
      </c>
      <c r="F91" t="s">
        <v>578</v>
      </c>
      <c r="G91" t="s">
        <v>577</v>
      </c>
      <c r="H91" t="s">
        <v>579</v>
      </c>
      <c r="I91" t="s">
        <v>467</v>
      </c>
      <c r="J91">
        <v>14</v>
      </c>
      <c r="K91" t="s">
        <v>294</v>
      </c>
    </row>
    <row r="92" spans="1:11" ht="14.5" x14ac:dyDescent="0.35">
      <c r="A92" t="s">
        <v>592</v>
      </c>
      <c r="B92" s="98" t="s">
        <v>589</v>
      </c>
      <c r="C92" s="98">
        <v>42</v>
      </c>
      <c r="D92" t="s">
        <v>583</v>
      </c>
      <c r="E92" t="s">
        <v>467</v>
      </c>
      <c r="F92" t="s">
        <v>581</v>
      </c>
      <c r="G92" t="s">
        <v>580</v>
      </c>
      <c r="H92" t="s">
        <v>582</v>
      </c>
      <c r="I92" t="s">
        <v>467</v>
      </c>
      <c r="J92">
        <v>14</v>
      </c>
      <c r="K92" t="s">
        <v>294</v>
      </c>
    </row>
    <row r="93" spans="1:11" ht="14.5" x14ac:dyDescent="0.35">
      <c r="A93" t="s">
        <v>593</v>
      </c>
      <c r="B93" s="98" t="s">
        <v>589</v>
      </c>
      <c r="C93" s="98">
        <v>50</v>
      </c>
      <c r="D93" t="s">
        <v>585</v>
      </c>
      <c r="E93" t="s">
        <v>585</v>
      </c>
      <c r="F93" t="s">
        <v>587</v>
      </c>
      <c r="G93" t="s">
        <v>586</v>
      </c>
      <c r="H93" t="s">
        <v>584</v>
      </c>
      <c r="I93" t="s">
        <v>588</v>
      </c>
      <c r="J93">
        <v>48</v>
      </c>
      <c r="K93" t="s">
        <v>294</v>
      </c>
    </row>
    <row r="94" spans="1:11" ht="14.5" x14ac:dyDescent="0.35">
      <c r="B94" s="98"/>
      <c r="C94" s="98"/>
    </row>
    <row r="95" spans="1:11" ht="14.5" x14ac:dyDescent="0.35">
      <c r="A95" t="s">
        <v>653</v>
      </c>
      <c r="B95" s="98" t="s">
        <v>589</v>
      </c>
      <c r="C95" s="98">
        <v>26</v>
      </c>
      <c r="D95" t="s">
        <v>647</v>
      </c>
      <c r="E95" t="s">
        <v>649</v>
      </c>
      <c r="F95" t="s">
        <v>603</v>
      </c>
      <c r="G95" t="s">
        <v>602</v>
      </c>
      <c r="H95">
        <v>890</v>
      </c>
      <c r="I95" t="s">
        <v>543</v>
      </c>
      <c r="J95">
        <v>3</v>
      </c>
      <c r="K95" t="s">
        <v>295</v>
      </c>
    </row>
    <row r="96" spans="1:11" ht="14.5" x14ac:dyDescent="0.35">
      <c r="A96" t="s">
        <v>654</v>
      </c>
      <c r="B96" s="98" t="s">
        <v>589</v>
      </c>
      <c r="C96" s="98">
        <v>27</v>
      </c>
      <c r="D96" t="s">
        <v>647</v>
      </c>
      <c r="E96" t="s">
        <v>649</v>
      </c>
      <c r="F96" t="s">
        <v>606</v>
      </c>
      <c r="G96" t="s">
        <v>605</v>
      </c>
      <c r="H96">
        <v>912</v>
      </c>
      <c r="I96" t="s">
        <v>543</v>
      </c>
      <c r="J96">
        <v>3</v>
      </c>
      <c r="K96" t="s">
        <v>296</v>
      </c>
    </row>
    <row r="97" spans="1:11" ht="14.5" x14ac:dyDescent="0.35">
      <c r="A97" t="s">
        <v>655</v>
      </c>
      <c r="B97" s="98" t="s">
        <v>589</v>
      </c>
      <c r="C97" s="98">
        <v>28</v>
      </c>
      <c r="D97" t="s">
        <v>647</v>
      </c>
      <c r="E97" t="s">
        <v>649</v>
      </c>
      <c r="F97" t="s">
        <v>609</v>
      </c>
      <c r="G97" t="s">
        <v>608</v>
      </c>
      <c r="H97">
        <v>875</v>
      </c>
      <c r="I97" t="s">
        <v>543</v>
      </c>
      <c r="J97">
        <v>3</v>
      </c>
      <c r="K97" t="s">
        <v>297</v>
      </c>
    </row>
    <row r="98" spans="1:11" ht="14.5" x14ac:dyDescent="0.35">
      <c r="A98" t="s">
        <v>656</v>
      </c>
      <c r="B98" s="98" t="s">
        <v>589</v>
      </c>
      <c r="C98" s="98">
        <v>23</v>
      </c>
      <c r="D98" t="s">
        <v>646</v>
      </c>
      <c r="E98" t="s">
        <v>650</v>
      </c>
      <c r="F98" t="s">
        <v>612</v>
      </c>
      <c r="G98" t="s">
        <v>611</v>
      </c>
      <c r="H98">
        <v>856</v>
      </c>
      <c r="I98" t="s">
        <v>543</v>
      </c>
      <c r="J98">
        <v>3</v>
      </c>
      <c r="K98" t="s">
        <v>295</v>
      </c>
    </row>
    <row r="99" spans="1:11" ht="14.5" x14ac:dyDescent="0.35">
      <c r="A99" t="s">
        <v>657</v>
      </c>
      <c r="B99" s="98" t="s">
        <v>589</v>
      </c>
      <c r="C99" s="98">
        <v>24</v>
      </c>
      <c r="D99" t="s">
        <v>646</v>
      </c>
      <c r="E99" t="s">
        <v>650</v>
      </c>
      <c r="F99" t="s">
        <v>615</v>
      </c>
      <c r="G99" t="s">
        <v>614</v>
      </c>
      <c r="H99">
        <v>875</v>
      </c>
      <c r="I99" t="s">
        <v>543</v>
      </c>
      <c r="J99">
        <v>3</v>
      </c>
      <c r="K99" t="s">
        <v>296</v>
      </c>
    </row>
    <row r="100" spans="1:11" ht="14.5" x14ac:dyDescent="0.35">
      <c r="A100" t="s">
        <v>658</v>
      </c>
      <c r="B100" s="98" t="s">
        <v>589</v>
      </c>
      <c r="C100" s="98">
        <v>25</v>
      </c>
      <c r="D100" t="s">
        <v>646</v>
      </c>
      <c r="E100" t="s">
        <v>650</v>
      </c>
      <c r="F100" t="s">
        <v>618</v>
      </c>
      <c r="G100" t="s">
        <v>617</v>
      </c>
      <c r="H100">
        <v>835</v>
      </c>
      <c r="I100" t="s">
        <v>543</v>
      </c>
      <c r="J100">
        <v>3</v>
      </c>
      <c r="K100" t="s">
        <v>297</v>
      </c>
    </row>
    <row r="101" spans="1:11" ht="14.5" x14ac:dyDescent="0.35">
      <c r="A101" t="s">
        <v>659</v>
      </c>
      <c r="B101" s="98" t="s">
        <v>589</v>
      </c>
      <c r="C101" s="98">
        <v>39</v>
      </c>
      <c r="D101" t="s">
        <v>594</v>
      </c>
      <c r="E101" t="s">
        <v>550</v>
      </c>
      <c r="F101" t="s">
        <v>578</v>
      </c>
      <c r="G101" t="s">
        <v>577</v>
      </c>
      <c r="H101">
        <v>971</v>
      </c>
      <c r="I101" t="s">
        <v>550</v>
      </c>
      <c r="J101">
        <v>14</v>
      </c>
      <c r="K101" t="s">
        <v>295</v>
      </c>
    </row>
    <row r="102" spans="1:11" ht="14.5" x14ac:dyDescent="0.35">
      <c r="A102" t="s">
        <v>660</v>
      </c>
      <c r="B102" s="98" t="s">
        <v>589</v>
      </c>
      <c r="C102" s="98">
        <v>40</v>
      </c>
      <c r="D102" t="s">
        <v>594</v>
      </c>
      <c r="E102" t="s">
        <v>550</v>
      </c>
      <c r="F102" t="s">
        <v>622</v>
      </c>
      <c r="G102" t="s">
        <v>621</v>
      </c>
      <c r="H102">
        <v>995</v>
      </c>
      <c r="I102" t="s">
        <v>550</v>
      </c>
      <c r="J102">
        <v>14</v>
      </c>
      <c r="K102" t="s">
        <v>296</v>
      </c>
    </row>
    <row r="103" spans="1:11" ht="14.5" x14ac:dyDescent="0.35">
      <c r="A103" t="s">
        <v>661</v>
      </c>
      <c r="B103" s="98" t="s">
        <v>589</v>
      </c>
      <c r="C103" s="98">
        <v>41</v>
      </c>
      <c r="D103" t="s">
        <v>594</v>
      </c>
      <c r="E103" t="s">
        <v>550</v>
      </c>
      <c r="F103" t="s">
        <v>625</v>
      </c>
      <c r="G103" t="s">
        <v>624</v>
      </c>
      <c r="H103">
        <v>950</v>
      </c>
      <c r="I103" t="s">
        <v>550</v>
      </c>
      <c r="J103">
        <v>14</v>
      </c>
      <c r="K103" t="s">
        <v>297</v>
      </c>
    </row>
    <row r="104" spans="1:11" ht="14.5" x14ac:dyDescent="0.35">
      <c r="A104" t="s">
        <v>662</v>
      </c>
      <c r="B104" s="98" t="s">
        <v>589</v>
      </c>
      <c r="C104" s="98">
        <v>36</v>
      </c>
      <c r="D104" t="s">
        <v>645</v>
      </c>
      <c r="E104" t="s">
        <v>651</v>
      </c>
      <c r="F104" t="s">
        <v>628</v>
      </c>
      <c r="G104" t="s">
        <v>627</v>
      </c>
      <c r="H104">
        <v>1018</v>
      </c>
      <c r="I104" t="s">
        <v>467</v>
      </c>
      <c r="J104">
        <v>14</v>
      </c>
      <c r="K104" t="s">
        <v>295</v>
      </c>
    </row>
    <row r="105" spans="1:11" ht="14.5" x14ac:dyDescent="0.35">
      <c r="A105" t="s">
        <v>663</v>
      </c>
      <c r="B105" s="98" t="s">
        <v>589</v>
      </c>
      <c r="C105" s="98">
        <v>37</v>
      </c>
      <c r="D105" t="s">
        <v>645</v>
      </c>
      <c r="E105" t="s">
        <v>651</v>
      </c>
      <c r="F105" t="s">
        <v>631</v>
      </c>
      <c r="G105" t="s">
        <v>630</v>
      </c>
      <c r="H105">
        <v>1045</v>
      </c>
      <c r="I105" t="s">
        <v>467</v>
      </c>
      <c r="J105">
        <v>14</v>
      </c>
      <c r="K105" t="s">
        <v>296</v>
      </c>
    </row>
    <row r="106" spans="1:11" ht="14.5" x14ac:dyDescent="0.35">
      <c r="A106" t="s">
        <v>664</v>
      </c>
      <c r="B106" s="98" t="s">
        <v>589</v>
      </c>
      <c r="C106" s="98">
        <v>38</v>
      </c>
      <c r="D106" t="s">
        <v>645</v>
      </c>
      <c r="E106" t="s">
        <v>651</v>
      </c>
      <c r="F106" t="s">
        <v>634</v>
      </c>
      <c r="G106" t="s">
        <v>633</v>
      </c>
      <c r="H106">
        <v>995</v>
      </c>
      <c r="I106" t="s">
        <v>467</v>
      </c>
      <c r="J106">
        <v>14</v>
      </c>
      <c r="K106" t="s">
        <v>297</v>
      </c>
    </row>
    <row r="107" spans="1:11" ht="14.5" x14ac:dyDescent="0.35">
      <c r="A107" t="s">
        <v>665</v>
      </c>
      <c r="B107" s="98" t="s">
        <v>589</v>
      </c>
      <c r="C107" s="98">
        <v>51</v>
      </c>
      <c r="D107" t="s">
        <v>648</v>
      </c>
      <c r="E107" t="s">
        <v>652</v>
      </c>
      <c r="F107" t="s">
        <v>637</v>
      </c>
      <c r="G107" t="s">
        <v>636</v>
      </c>
      <c r="H107">
        <v>650</v>
      </c>
      <c r="I107" t="s">
        <v>588</v>
      </c>
      <c r="J107">
        <v>48</v>
      </c>
      <c r="K107" t="s">
        <v>295</v>
      </c>
    </row>
    <row r="108" spans="1:11" ht="14.5" x14ac:dyDescent="0.35">
      <c r="A108" t="s">
        <v>666</v>
      </c>
      <c r="B108" s="98" t="s">
        <v>589</v>
      </c>
      <c r="C108" s="98">
        <v>52</v>
      </c>
      <c r="D108" t="s">
        <v>648</v>
      </c>
      <c r="E108" t="s">
        <v>652</v>
      </c>
      <c r="F108" t="s">
        <v>640</v>
      </c>
      <c r="G108" t="s">
        <v>639</v>
      </c>
      <c r="H108">
        <v>680</v>
      </c>
      <c r="I108" t="s">
        <v>588</v>
      </c>
      <c r="J108">
        <v>48</v>
      </c>
      <c r="K108" t="s">
        <v>296</v>
      </c>
    </row>
    <row r="109" spans="1:11" ht="14.5" x14ac:dyDescent="0.35">
      <c r="A109" t="s">
        <v>667</v>
      </c>
      <c r="B109" s="98" t="s">
        <v>589</v>
      </c>
      <c r="C109" s="98">
        <v>53</v>
      </c>
      <c r="D109" t="s">
        <v>648</v>
      </c>
      <c r="E109" t="s">
        <v>652</v>
      </c>
      <c r="F109" t="s">
        <v>643</v>
      </c>
      <c r="G109" t="s">
        <v>642</v>
      </c>
      <c r="H109">
        <v>620</v>
      </c>
      <c r="I109" t="s">
        <v>588</v>
      </c>
      <c r="J109">
        <v>48</v>
      </c>
      <c r="K109" t="s">
        <v>297</v>
      </c>
    </row>
    <row r="111" spans="1:11" ht="14.5" x14ac:dyDescent="0.35">
      <c r="A111" t="s">
        <v>668</v>
      </c>
      <c r="B111" s="98" t="s">
        <v>589</v>
      </c>
      <c r="C111" s="98">
        <v>11</v>
      </c>
      <c r="D111" t="s">
        <v>669</v>
      </c>
      <c r="E111" t="s">
        <v>669</v>
      </c>
      <c r="F111" t="s">
        <v>672</v>
      </c>
      <c r="G111" t="s">
        <v>671</v>
      </c>
      <c r="H111">
        <v>965.96</v>
      </c>
      <c r="I111" t="s">
        <v>673</v>
      </c>
      <c r="J111">
        <v>32</v>
      </c>
      <c r="K111" t="s">
        <v>319</v>
      </c>
    </row>
    <row r="113" spans="1:11" ht="14.5" x14ac:dyDescent="0.35">
      <c r="A113" t="s">
        <v>691</v>
      </c>
      <c r="B113" s="98" t="s">
        <v>589</v>
      </c>
      <c r="C113" s="98">
        <v>22</v>
      </c>
      <c r="D113" t="s">
        <v>675</v>
      </c>
      <c r="E113" t="s">
        <v>678</v>
      </c>
      <c r="F113" t="s">
        <v>676</v>
      </c>
      <c r="G113" t="s">
        <v>677</v>
      </c>
      <c r="H113" t="s">
        <v>674</v>
      </c>
      <c r="I113" t="s">
        <v>543</v>
      </c>
      <c r="J113">
        <v>3</v>
      </c>
      <c r="K113" t="s">
        <v>307</v>
      </c>
    </row>
    <row r="114" spans="1:11" ht="14.5" x14ac:dyDescent="0.35">
      <c r="A114" t="s">
        <v>692</v>
      </c>
      <c r="B114" s="98" t="s">
        <v>589</v>
      </c>
      <c r="C114" s="98">
        <v>54</v>
      </c>
      <c r="D114" t="s">
        <v>681</v>
      </c>
      <c r="E114" t="s">
        <v>681</v>
      </c>
      <c r="F114" t="s">
        <v>679</v>
      </c>
      <c r="G114" t="s">
        <v>680</v>
      </c>
      <c r="H114">
        <v>397</v>
      </c>
      <c r="I114" t="s">
        <v>681</v>
      </c>
      <c r="J114">
        <v>51</v>
      </c>
      <c r="K114" t="s">
        <v>307</v>
      </c>
    </row>
    <row r="115" spans="1:11" ht="14.5" x14ac:dyDescent="0.35">
      <c r="A115" t="s">
        <v>693</v>
      </c>
      <c r="B115" s="98" t="s">
        <v>589</v>
      </c>
      <c r="C115" s="98">
        <v>55</v>
      </c>
      <c r="D115" t="s">
        <v>683</v>
      </c>
      <c r="E115" t="s">
        <v>681</v>
      </c>
      <c r="F115" t="s">
        <v>682</v>
      </c>
      <c r="G115" t="s">
        <v>670</v>
      </c>
      <c r="H115">
        <v>389</v>
      </c>
      <c r="I115" t="s">
        <v>681</v>
      </c>
      <c r="J115">
        <v>51</v>
      </c>
      <c r="K115" t="s">
        <v>307</v>
      </c>
    </row>
    <row r="116" spans="1:11" ht="14.5" x14ac:dyDescent="0.35">
      <c r="A116" t="s">
        <v>694</v>
      </c>
      <c r="B116" s="98" t="s">
        <v>589</v>
      </c>
      <c r="C116" s="98">
        <v>4</v>
      </c>
      <c r="D116" t="s">
        <v>686</v>
      </c>
      <c r="E116" t="s">
        <v>485</v>
      </c>
      <c r="F116" t="s">
        <v>684</v>
      </c>
      <c r="G116" t="s">
        <v>685</v>
      </c>
      <c r="H116">
        <v>575</v>
      </c>
      <c r="I116" t="s">
        <v>485</v>
      </c>
      <c r="J116">
        <v>5</v>
      </c>
      <c r="K116" t="s">
        <v>307</v>
      </c>
    </row>
    <row r="117" spans="1:11" ht="14.5" x14ac:dyDescent="0.35">
      <c r="A117" t="s">
        <v>695</v>
      </c>
      <c r="B117" s="98" t="s">
        <v>589</v>
      </c>
      <c r="C117" s="98">
        <v>31</v>
      </c>
      <c r="D117" t="s">
        <v>689</v>
      </c>
      <c r="E117" t="s">
        <v>690</v>
      </c>
      <c r="F117" t="s">
        <v>687</v>
      </c>
      <c r="G117" t="s">
        <v>688</v>
      </c>
      <c r="H117">
        <v>926</v>
      </c>
      <c r="I117" t="s">
        <v>696</v>
      </c>
      <c r="J117">
        <v>43</v>
      </c>
      <c r="K117" t="s">
        <v>307</v>
      </c>
    </row>
    <row r="119" spans="1:11" ht="14.5" x14ac:dyDescent="0.35">
      <c r="A119" t="s">
        <v>702</v>
      </c>
      <c r="B119" s="98" t="s">
        <v>589</v>
      </c>
      <c r="C119" s="98">
        <v>8</v>
      </c>
      <c r="D119" t="s">
        <v>700</v>
      </c>
      <c r="E119" t="s">
        <v>701</v>
      </c>
      <c r="F119" t="s">
        <v>697</v>
      </c>
      <c r="G119" t="s">
        <v>698</v>
      </c>
      <c r="H119" t="s">
        <v>699</v>
      </c>
      <c r="I119" t="s">
        <v>484</v>
      </c>
      <c r="J119">
        <v>7</v>
      </c>
      <c r="K119" t="s">
        <v>316</v>
      </c>
    </row>
    <row r="121" spans="1:11" ht="14.5" x14ac:dyDescent="0.35">
      <c r="A121" t="s">
        <v>714</v>
      </c>
      <c r="B121" s="98" t="s">
        <v>589</v>
      </c>
      <c r="C121" s="98">
        <v>10</v>
      </c>
      <c r="D121" t="s">
        <v>705</v>
      </c>
      <c r="E121" t="s">
        <v>706</v>
      </c>
      <c r="F121" t="s">
        <v>703</v>
      </c>
      <c r="G121" t="s">
        <v>704</v>
      </c>
      <c r="H121">
        <v>1100</v>
      </c>
      <c r="I121" t="s">
        <v>707</v>
      </c>
      <c r="J121">
        <v>17</v>
      </c>
      <c r="K121" t="s">
        <v>310</v>
      </c>
    </row>
    <row r="123" spans="1:11" ht="14.5" x14ac:dyDescent="0.35">
      <c r="A123" t="s">
        <v>712</v>
      </c>
      <c r="B123" s="98" t="s">
        <v>589</v>
      </c>
      <c r="C123" s="98">
        <v>30</v>
      </c>
      <c r="D123" t="s">
        <v>422</v>
      </c>
      <c r="E123" t="s">
        <v>422</v>
      </c>
      <c r="F123" t="s">
        <v>595</v>
      </c>
      <c r="G123" t="s">
        <v>596</v>
      </c>
      <c r="H123">
        <v>763</v>
      </c>
      <c r="I123" t="s">
        <v>543</v>
      </c>
      <c r="J123">
        <v>3</v>
      </c>
      <c r="K123" t="s">
        <v>304</v>
      </c>
    </row>
    <row r="124" spans="1:11" ht="14.5" x14ac:dyDescent="0.35">
      <c r="A124" t="s">
        <v>713</v>
      </c>
      <c r="B124" s="98" t="s">
        <v>589</v>
      </c>
      <c r="C124" s="98">
        <v>19</v>
      </c>
      <c r="D124" t="s">
        <v>710</v>
      </c>
      <c r="E124" t="s">
        <v>711</v>
      </c>
      <c r="F124" t="s">
        <v>708</v>
      </c>
      <c r="G124" t="s">
        <v>709</v>
      </c>
      <c r="H124">
        <v>600</v>
      </c>
      <c r="I124" t="s">
        <v>711</v>
      </c>
      <c r="J124">
        <v>53</v>
      </c>
      <c r="K124" t="s">
        <v>306</v>
      </c>
    </row>
    <row r="126" spans="1:11" ht="14.5" x14ac:dyDescent="0.35">
      <c r="A126" t="s">
        <v>715</v>
      </c>
      <c r="B126" s="98" t="s">
        <v>589</v>
      </c>
      <c r="C126" s="98">
        <v>18</v>
      </c>
      <c r="D126" t="s">
        <v>718</v>
      </c>
      <c r="E126" t="s">
        <v>563</v>
      </c>
      <c r="F126" t="s">
        <v>716</v>
      </c>
      <c r="G126" t="s">
        <v>717</v>
      </c>
      <c r="H126">
        <v>470</v>
      </c>
      <c r="I126" t="s">
        <v>510</v>
      </c>
      <c r="J126">
        <v>33</v>
      </c>
      <c r="K126" t="s">
        <v>301</v>
      </c>
    </row>
    <row r="127" spans="1:11" ht="14.5" x14ac:dyDescent="0.35">
      <c r="A127" t="s">
        <v>725</v>
      </c>
      <c r="B127" s="98" t="s">
        <v>589</v>
      </c>
      <c r="C127" s="98">
        <v>15</v>
      </c>
      <c r="D127" t="s">
        <v>562</v>
      </c>
      <c r="E127" t="s">
        <v>563</v>
      </c>
      <c r="F127" t="s">
        <v>719</v>
      </c>
      <c r="G127" t="s">
        <v>720</v>
      </c>
      <c r="H127">
        <v>252</v>
      </c>
      <c r="I127" t="s">
        <v>724</v>
      </c>
      <c r="J127">
        <v>33</v>
      </c>
      <c r="K127" t="s">
        <v>302</v>
      </c>
    </row>
    <row r="128" spans="1:11" ht="14.5" x14ac:dyDescent="0.35">
      <c r="A128" t="s">
        <v>726</v>
      </c>
      <c r="B128" s="98" t="s">
        <v>589</v>
      </c>
      <c r="C128" s="98">
        <v>64</v>
      </c>
      <c r="D128" t="s">
        <v>723</v>
      </c>
      <c r="E128" t="s">
        <v>380</v>
      </c>
      <c r="F128" t="s">
        <v>721</v>
      </c>
      <c r="G128" t="s">
        <v>722</v>
      </c>
      <c r="H128">
        <v>166</v>
      </c>
      <c r="I128" t="s">
        <v>381</v>
      </c>
      <c r="J128">
        <v>30</v>
      </c>
      <c r="K128" t="s">
        <v>303</v>
      </c>
    </row>
    <row r="129" spans="1:11" ht="14.5" x14ac:dyDescent="0.35">
      <c r="A129" t="s">
        <v>727</v>
      </c>
      <c r="B129" s="98" t="s">
        <v>589</v>
      </c>
      <c r="C129" s="98">
        <v>60</v>
      </c>
      <c r="D129" t="s">
        <v>381</v>
      </c>
      <c r="E129" t="s">
        <v>381</v>
      </c>
      <c r="F129" t="s">
        <v>566</v>
      </c>
      <c r="G129" t="s">
        <v>567</v>
      </c>
      <c r="H129">
        <v>226</v>
      </c>
      <c r="I129" t="s">
        <v>381</v>
      </c>
      <c r="J129">
        <v>30</v>
      </c>
      <c r="K129" t="s">
        <v>304</v>
      </c>
    </row>
    <row r="130" spans="1:11" ht="14.5" x14ac:dyDescent="0.35">
      <c r="A130" t="s">
        <v>728</v>
      </c>
      <c r="B130" s="98" t="s">
        <v>589</v>
      </c>
      <c r="C130" s="98">
        <v>30</v>
      </c>
      <c r="D130" t="s">
        <v>422</v>
      </c>
      <c r="E130" t="s">
        <v>422</v>
      </c>
      <c r="F130" t="s">
        <v>595</v>
      </c>
      <c r="G130" t="s">
        <v>596</v>
      </c>
      <c r="H130">
        <v>779</v>
      </c>
      <c r="I130" t="s">
        <v>543</v>
      </c>
      <c r="J130">
        <v>3</v>
      </c>
      <c r="K130" t="s">
        <v>305</v>
      </c>
    </row>
    <row r="132" spans="1:11" x14ac:dyDescent="0.3">
      <c r="A132" t="s">
        <v>781</v>
      </c>
      <c r="K132" t="s">
        <v>304</v>
      </c>
    </row>
    <row r="133" spans="1:11" x14ac:dyDescent="0.3">
      <c r="A133" t="s">
        <v>782</v>
      </c>
      <c r="K133" t="s">
        <v>306</v>
      </c>
    </row>
    <row r="134" spans="1:11" x14ac:dyDescent="0.3">
      <c r="A134" t="s">
        <v>783</v>
      </c>
      <c r="K134" t="s">
        <v>300</v>
      </c>
    </row>
    <row r="135" spans="1:11" x14ac:dyDescent="0.3">
      <c r="A135" t="s">
        <v>783</v>
      </c>
      <c r="K135" t="s">
        <v>301</v>
      </c>
    </row>
    <row r="136" spans="1:11" x14ac:dyDescent="0.3">
      <c r="A136" t="s">
        <v>784</v>
      </c>
      <c r="K136" t="s">
        <v>303</v>
      </c>
    </row>
    <row r="137" spans="1:11" x14ac:dyDescent="0.3">
      <c r="A137" t="s">
        <v>784</v>
      </c>
      <c r="K137" t="s">
        <v>305</v>
      </c>
    </row>
    <row r="138" spans="1:11" x14ac:dyDescent="0.3">
      <c r="A138" t="s">
        <v>785</v>
      </c>
      <c r="K138" t="s">
        <v>310</v>
      </c>
    </row>
    <row r="139" spans="1:11" x14ac:dyDescent="0.3">
      <c r="A139" t="s">
        <v>785</v>
      </c>
      <c r="K139" t="s">
        <v>315</v>
      </c>
    </row>
    <row r="140" spans="1:11" x14ac:dyDescent="0.3">
      <c r="A140" t="s">
        <v>785</v>
      </c>
      <c r="K140" t="s">
        <v>316</v>
      </c>
    </row>
    <row r="141" spans="1:11" x14ac:dyDescent="0.3">
      <c r="A141" t="s">
        <v>785</v>
      </c>
      <c r="K141" t="s">
        <v>317</v>
      </c>
    </row>
    <row r="142" spans="1:11" x14ac:dyDescent="0.3">
      <c r="A142" t="s">
        <v>785</v>
      </c>
      <c r="K142" t="s">
        <v>307</v>
      </c>
    </row>
    <row r="143" spans="1:11" x14ac:dyDescent="0.3">
      <c r="A143" t="s">
        <v>785</v>
      </c>
      <c r="K143" t="s">
        <v>308</v>
      </c>
    </row>
    <row r="144" spans="1:11" x14ac:dyDescent="0.3">
      <c r="A144" t="s">
        <v>785</v>
      </c>
      <c r="K144" t="s">
        <v>309</v>
      </c>
    </row>
    <row r="145" spans="1:11" x14ac:dyDescent="0.3">
      <c r="A145" t="s">
        <v>785</v>
      </c>
      <c r="K145" t="s">
        <v>319</v>
      </c>
    </row>
    <row r="146" spans="1:11" x14ac:dyDescent="0.3">
      <c r="A146" t="s">
        <v>786</v>
      </c>
      <c r="K146" t="s">
        <v>320</v>
      </c>
    </row>
    <row r="147" spans="1:11" x14ac:dyDescent="0.3">
      <c r="A147" t="s">
        <v>785</v>
      </c>
      <c r="K147" t="s">
        <v>294</v>
      </c>
    </row>
    <row r="148" spans="1:11" x14ac:dyDescent="0.3">
      <c r="A148" t="s">
        <v>785</v>
      </c>
      <c r="K148" t="s">
        <v>295</v>
      </c>
    </row>
    <row r="149" spans="1:11" x14ac:dyDescent="0.3">
      <c r="A149" t="s">
        <v>785</v>
      </c>
      <c r="K149" t="s">
        <v>296</v>
      </c>
    </row>
    <row r="150" spans="1:11" x14ac:dyDescent="0.3">
      <c r="A150" t="s">
        <v>785</v>
      </c>
      <c r="K150" t="s">
        <v>297</v>
      </c>
    </row>
    <row r="151" spans="1:11" x14ac:dyDescent="0.3">
      <c r="A151" t="s">
        <v>785</v>
      </c>
      <c r="K151" t="s">
        <v>298</v>
      </c>
    </row>
    <row r="152" spans="1:11" x14ac:dyDescent="0.3">
      <c r="A152" t="s">
        <v>783</v>
      </c>
      <c r="K152" t="s">
        <v>787</v>
      </c>
    </row>
    <row r="153" spans="1:11" x14ac:dyDescent="0.3">
      <c r="A153" t="s">
        <v>788</v>
      </c>
      <c r="K153" t="s">
        <v>789</v>
      </c>
    </row>
  </sheetData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86E04-0BDF-4440-9AB0-03D4B509E857}">
  <dimension ref="A1:H130"/>
  <sheetViews>
    <sheetView topLeftCell="A106" workbookViewId="0">
      <selection activeCell="B2" sqref="B2:B130"/>
    </sheetView>
  </sheetViews>
  <sheetFormatPr baseColWidth="10" defaultRowHeight="14" x14ac:dyDescent="0.3"/>
  <cols>
    <col min="2" max="2" width="15.09765625" bestFit="1" customWidth="1"/>
    <col min="3" max="3" width="18.69921875" bestFit="1" customWidth="1"/>
    <col min="4" max="4" width="18.8984375" bestFit="1" customWidth="1"/>
  </cols>
  <sheetData>
    <row r="1" spans="1:8" x14ac:dyDescent="0.3">
      <c r="A1" t="s">
        <v>0</v>
      </c>
      <c r="B1" t="s">
        <v>800</v>
      </c>
      <c r="C1" t="s">
        <v>393</v>
      </c>
      <c r="D1" t="s">
        <v>220</v>
      </c>
      <c r="E1" t="s">
        <v>798</v>
      </c>
      <c r="F1" t="s">
        <v>411</v>
      </c>
      <c r="G1" t="s">
        <v>799</v>
      </c>
      <c r="H1" t="s">
        <v>219</v>
      </c>
    </row>
    <row r="2" spans="1:8" ht="14.5" x14ac:dyDescent="0.35">
      <c r="A2">
        <v>1</v>
      </c>
      <c r="B2">
        <v>1</v>
      </c>
      <c r="C2" s="105" t="s">
        <v>792</v>
      </c>
      <c r="D2" s="105" t="s">
        <v>389</v>
      </c>
      <c r="E2" s="104" t="s">
        <v>443</v>
      </c>
      <c r="F2" s="104" t="s">
        <v>444</v>
      </c>
      <c r="G2" s="105">
        <v>2</v>
      </c>
      <c r="H2" s="105" t="s">
        <v>363</v>
      </c>
    </row>
    <row r="3" spans="1:8" ht="14.5" x14ac:dyDescent="0.35">
      <c r="A3">
        <v>2</v>
      </c>
      <c r="B3">
        <v>1</v>
      </c>
      <c r="C3" s="105" t="s">
        <v>792</v>
      </c>
      <c r="D3" s="105" t="s">
        <v>389</v>
      </c>
      <c r="E3" s="104" t="s">
        <v>443</v>
      </c>
      <c r="F3" s="104" t="s">
        <v>444</v>
      </c>
      <c r="G3" s="105">
        <v>2</v>
      </c>
      <c r="H3" s="105" t="s">
        <v>363</v>
      </c>
    </row>
    <row r="4" spans="1:8" ht="14.5" x14ac:dyDescent="0.35">
      <c r="A4">
        <v>3</v>
      </c>
      <c r="B4">
        <v>1</v>
      </c>
      <c r="C4" s="105" t="s">
        <v>792</v>
      </c>
      <c r="D4" s="105" t="s">
        <v>389</v>
      </c>
      <c r="E4" s="104" t="s">
        <v>443</v>
      </c>
      <c r="F4" s="104" t="s">
        <v>444</v>
      </c>
      <c r="G4" s="105">
        <v>2</v>
      </c>
      <c r="H4" s="105" t="s">
        <v>363</v>
      </c>
    </row>
    <row r="5" spans="1:8" ht="14.5" x14ac:dyDescent="0.35">
      <c r="A5">
        <v>4</v>
      </c>
      <c r="B5">
        <v>46</v>
      </c>
      <c r="C5" s="105" t="s">
        <v>367</v>
      </c>
      <c r="D5" s="105" t="s">
        <v>367</v>
      </c>
      <c r="E5" s="104" t="s">
        <v>445</v>
      </c>
      <c r="F5" s="104" t="s">
        <v>446</v>
      </c>
      <c r="G5" s="105">
        <v>5</v>
      </c>
      <c r="H5" s="105" t="s">
        <v>367</v>
      </c>
    </row>
    <row r="6" spans="1:8" x14ac:dyDescent="0.3">
      <c r="A6">
        <v>5</v>
      </c>
      <c r="E6" s="104"/>
      <c r="F6" s="104"/>
    </row>
    <row r="7" spans="1:8" ht="14.5" x14ac:dyDescent="0.35">
      <c r="A7">
        <v>6</v>
      </c>
      <c r="B7">
        <v>2</v>
      </c>
      <c r="C7" s="105" t="s">
        <v>796</v>
      </c>
      <c r="D7" s="105" t="s">
        <v>389</v>
      </c>
      <c r="E7" s="104" t="s">
        <v>447</v>
      </c>
      <c r="F7" s="104" t="s">
        <v>430</v>
      </c>
      <c r="G7" s="105">
        <v>2</v>
      </c>
      <c r="H7" s="105" t="s">
        <v>363</v>
      </c>
    </row>
    <row r="8" spans="1:8" ht="14.5" x14ac:dyDescent="0.35">
      <c r="A8">
        <v>7</v>
      </c>
      <c r="B8">
        <v>2</v>
      </c>
      <c r="C8" s="105" t="s">
        <v>796</v>
      </c>
      <c r="D8" s="105" t="s">
        <v>389</v>
      </c>
      <c r="E8" s="104" t="s">
        <v>447</v>
      </c>
      <c r="F8" s="104" t="s">
        <v>430</v>
      </c>
      <c r="G8" s="105">
        <v>2</v>
      </c>
      <c r="H8" s="105" t="s">
        <v>363</v>
      </c>
    </row>
    <row r="9" spans="1:8" x14ac:dyDescent="0.3">
      <c r="A9">
        <v>8</v>
      </c>
      <c r="E9" s="104"/>
      <c r="F9" s="104"/>
    </row>
    <row r="10" spans="1:8" ht="14.5" x14ac:dyDescent="0.35">
      <c r="A10">
        <v>9</v>
      </c>
      <c r="B10">
        <v>2</v>
      </c>
      <c r="C10" s="105" t="s">
        <v>794</v>
      </c>
      <c r="D10" s="105" t="s">
        <v>795</v>
      </c>
      <c r="E10" s="104" t="s">
        <v>448</v>
      </c>
      <c r="F10" s="104" t="s">
        <v>449</v>
      </c>
      <c r="G10" s="105">
        <v>80</v>
      </c>
      <c r="H10" s="105" t="s">
        <v>375</v>
      </c>
    </row>
    <row r="11" spans="1:8" ht="14.5" x14ac:dyDescent="0.35">
      <c r="A11">
        <v>10</v>
      </c>
      <c r="B11">
        <v>33</v>
      </c>
      <c r="C11" s="105" t="s">
        <v>790</v>
      </c>
      <c r="D11" s="105" t="s">
        <v>389</v>
      </c>
      <c r="E11" s="104" t="s">
        <v>450</v>
      </c>
      <c r="F11" s="104" t="s">
        <v>451</v>
      </c>
      <c r="G11" s="105">
        <v>10</v>
      </c>
      <c r="H11" s="105" t="s">
        <v>363</v>
      </c>
    </row>
    <row r="12" spans="1:8" ht="14.5" x14ac:dyDescent="0.35">
      <c r="A12">
        <v>11</v>
      </c>
      <c r="B12">
        <v>65</v>
      </c>
      <c r="C12" s="105" t="s">
        <v>380</v>
      </c>
      <c r="D12" s="105" t="s">
        <v>381</v>
      </c>
      <c r="E12" s="104" t="s">
        <v>452</v>
      </c>
      <c r="F12" s="104" t="s">
        <v>453</v>
      </c>
      <c r="G12" s="105">
        <v>160</v>
      </c>
      <c r="H12" s="105" t="s">
        <v>381</v>
      </c>
    </row>
    <row r="13" spans="1:8" ht="14.5" x14ac:dyDescent="0.35">
      <c r="A13">
        <v>12</v>
      </c>
      <c r="B13">
        <v>48</v>
      </c>
      <c r="C13" s="105" t="s">
        <v>797</v>
      </c>
      <c r="D13" s="105" t="s">
        <v>367</v>
      </c>
      <c r="E13" s="104" t="s">
        <v>454</v>
      </c>
      <c r="F13" s="104" t="s">
        <v>455</v>
      </c>
      <c r="G13" s="105">
        <v>8</v>
      </c>
      <c r="H13" s="105" t="s">
        <v>367</v>
      </c>
    </row>
    <row r="14" spans="1:8" ht="14.5" x14ac:dyDescent="0.35">
      <c r="A14">
        <v>13</v>
      </c>
      <c r="B14">
        <v>48</v>
      </c>
      <c r="C14" s="105" t="s">
        <v>797</v>
      </c>
      <c r="D14" s="105" t="s">
        <v>367</v>
      </c>
      <c r="E14" s="104" t="s">
        <v>454</v>
      </c>
      <c r="F14" s="104" t="s">
        <v>455</v>
      </c>
      <c r="G14" s="105">
        <v>8</v>
      </c>
      <c r="H14" s="105" t="s">
        <v>367</v>
      </c>
    </row>
    <row r="15" spans="1:8" ht="14.5" x14ac:dyDescent="0.35">
      <c r="A15">
        <v>14</v>
      </c>
      <c r="B15">
        <v>1</v>
      </c>
      <c r="C15" s="105" t="s">
        <v>791</v>
      </c>
      <c r="D15" s="105" t="s">
        <v>378</v>
      </c>
      <c r="E15" s="104" t="s">
        <v>456</v>
      </c>
      <c r="F15" s="104" t="s">
        <v>457</v>
      </c>
      <c r="G15" s="105">
        <v>280</v>
      </c>
      <c r="H15" s="105" t="s">
        <v>378</v>
      </c>
    </row>
    <row r="16" spans="1:8" x14ac:dyDescent="0.3">
      <c r="A16">
        <v>15</v>
      </c>
      <c r="E16" s="104"/>
      <c r="F16" s="104"/>
    </row>
    <row r="17" spans="1:8" ht="14.5" x14ac:dyDescent="0.35">
      <c r="A17">
        <v>16</v>
      </c>
      <c r="B17">
        <v>33</v>
      </c>
      <c r="C17" s="105" t="s">
        <v>790</v>
      </c>
      <c r="D17" s="105" t="s">
        <v>389</v>
      </c>
      <c r="E17" s="104" t="s">
        <v>458</v>
      </c>
      <c r="F17" s="104" t="s">
        <v>459</v>
      </c>
      <c r="G17" s="105">
        <v>5</v>
      </c>
      <c r="H17" s="105" t="s">
        <v>363</v>
      </c>
    </row>
    <row r="18" spans="1:8" ht="14.5" x14ac:dyDescent="0.35">
      <c r="A18">
        <v>17</v>
      </c>
      <c r="B18">
        <v>48</v>
      </c>
      <c r="C18" s="105" t="s">
        <v>797</v>
      </c>
      <c r="D18" s="105" t="s">
        <v>367</v>
      </c>
      <c r="E18" s="104" t="s">
        <v>454</v>
      </c>
      <c r="F18" s="104" t="s">
        <v>455</v>
      </c>
      <c r="G18" s="105">
        <v>8</v>
      </c>
      <c r="H18" s="105" t="s">
        <v>367</v>
      </c>
    </row>
    <row r="19" spans="1:8" ht="14.5" x14ac:dyDescent="0.35">
      <c r="A19">
        <v>18</v>
      </c>
      <c r="B19">
        <v>3</v>
      </c>
      <c r="C19" s="105" t="s">
        <v>793</v>
      </c>
      <c r="D19" s="105" t="s">
        <v>792</v>
      </c>
      <c r="E19" s="104" t="s">
        <v>460</v>
      </c>
      <c r="F19" s="104" t="s">
        <v>461</v>
      </c>
      <c r="G19" s="105">
        <v>2</v>
      </c>
      <c r="H19" s="105" t="s">
        <v>363</v>
      </c>
    </row>
    <row r="20" spans="1:8" ht="14.5" x14ac:dyDescent="0.35">
      <c r="A20">
        <v>19</v>
      </c>
      <c r="B20">
        <v>2</v>
      </c>
      <c r="C20" s="105" t="s">
        <v>796</v>
      </c>
      <c r="D20" s="105" t="s">
        <v>389</v>
      </c>
      <c r="E20" s="104" t="s">
        <v>447</v>
      </c>
      <c r="F20" s="104" t="s">
        <v>430</v>
      </c>
      <c r="G20" s="105">
        <v>2</v>
      </c>
      <c r="H20" s="105" t="s">
        <v>363</v>
      </c>
    </row>
    <row r="21" spans="1:8" x14ac:dyDescent="0.3">
      <c r="A21">
        <v>20</v>
      </c>
      <c r="E21" s="104"/>
      <c r="F21" s="104"/>
    </row>
    <row r="22" spans="1:8" ht="14.5" x14ac:dyDescent="0.35">
      <c r="A22">
        <v>21</v>
      </c>
      <c r="B22">
        <v>34</v>
      </c>
      <c r="C22" s="105" t="s">
        <v>389</v>
      </c>
      <c r="D22" s="105" t="s">
        <v>389</v>
      </c>
      <c r="E22" s="104" t="s">
        <v>462</v>
      </c>
      <c r="F22" s="104" t="s">
        <v>463</v>
      </c>
      <c r="G22" s="105">
        <v>5</v>
      </c>
      <c r="H22" s="98" t="s">
        <v>363</v>
      </c>
    </row>
    <row r="23" spans="1:8" ht="14.5" x14ac:dyDescent="0.35">
      <c r="A23">
        <v>22</v>
      </c>
      <c r="B23">
        <v>47</v>
      </c>
      <c r="C23" s="105" t="s">
        <v>367</v>
      </c>
      <c r="D23" s="105" t="s">
        <v>367</v>
      </c>
      <c r="E23" s="104" t="s">
        <v>400</v>
      </c>
      <c r="F23" s="104" t="s">
        <v>464</v>
      </c>
      <c r="G23" s="105">
        <v>18</v>
      </c>
      <c r="H23" s="98" t="s">
        <v>367</v>
      </c>
    </row>
    <row r="24" spans="1:8" ht="14.5" x14ac:dyDescent="0.35">
      <c r="A24">
        <v>23</v>
      </c>
      <c r="B24">
        <v>5</v>
      </c>
      <c r="C24" s="105" t="s">
        <v>405</v>
      </c>
      <c r="D24" s="105" t="s">
        <v>405</v>
      </c>
      <c r="E24" s="104" t="s">
        <v>402</v>
      </c>
      <c r="F24" s="104" t="s">
        <v>403</v>
      </c>
      <c r="G24" s="105">
        <v>52</v>
      </c>
      <c r="H24" s="98" t="s">
        <v>436</v>
      </c>
    </row>
    <row r="25" spans="1:8" x14ac:dyDescent="0.3">
      <c r="A25">
        <v>24</v>
      </c>
      <c r="E25" s="104"/>
      <c r="F25" s="104"/>
    </row>
    <row r="26" spans="1:8" ht="14.5" x14ac:dyDescent="0.35">
      <c r="A26">
        <v>25</v>
      </c>
      <c r="B26">
        <v>62</v>
      </c>
      <c r="C26" t="s">
        <v>414</v>
      </c>
      <c r="D26" t="s">
        <v>380</v>
      </c>
      <c r="E26" s="104" t="s">
        <v>413</v>
      </c>
      <c r="F26" s="104" t="s">
        <v>412</v>
      </c>
      <c r="G26">
        <v>156</v>
      </c>
      <c r="H26" s="105" t="s">
        <v>381</v>
      </c>
    </row>
    <row r="27" spans="1:8" ht="14.5" x14ac:dyDescent="0.35">
      <c r="A27">
        <v>26</v>
      </c>
      <c r="B27">
        <v>62</v>
      </c>
      <c r="C27" t="s">
        <v>414</v>
      </c>
      <c r="D27" t="s">
        <v>380</v>
      </c>
      <c r="E27" s="104" t="s">
        <v>413</v>
      </c>
      <c r="F27" s="104" t="s">
        <v>412</v>
      </c>
      <c r="G27">
        <v>156</v>
      </c>
      <c r="H27" s="105" t="s">
        <v>381</v>
      </c>
    </row>
    <row r="28" spans="1:8" ht="14.5" x14ac:dyDescent="0.35">
      <c r="A28">
        <v>27</v>
      </c>
      <c r="B28">
        <v>59</v>
      </c>
      <c r="C28" t="s">
        <v>381</v>
      </c>
      <c r="D28" t="s">
        <v>381</v>
      </c>
      <c r="E28" s="104" t="s">
        <v>416</v>
      </c>
      <c r="F28" s="104" t="s">
        <v>415</v>
      </c>
      <c r="G28">
        <v>245</v>
      </c>
      <c r="H28" s="105" t="s">
        <v>381</v>
      </c>
    </row>
    <row r="29" spans="1:8" ht="14.5" x14ac:dyDescent="0.35">
      <c r="A29">
        <v>28</v>
      </c>
      <c r="B29">
        <v>59</v>
      </c>
      <c r="C29" t="s">
        <v>381</v>
      </c>
      <c r="D29" t="s">
        <v>381</v>
      </c>
      <c r="E29" s="104" t="s">
        <v>416</v>
      </c>
      <c r="F29" s="104" t="s">
        <v>415</v>
      </c>
      <c r="G29">
        <v>245</v>
      </c>
      <c r="H29" s="105" t="s">
        <v>381</v>
      </c>
    </row>
    <row r="30" spans="1:8" ht="14.5" x14ac:dyDescent="0.35">
      <c r="A30">
        <v>29</v>
      </c>
      <c r="B30">
        <v>13</v>
      </c>
      <c r="C30" t="s">
        <v>419</v>
      </c>
      <c r="D30" t="s">
        <v>419</v>
      </c>
      <c r="E30" s="104" t="s">
        <v>418</v>
      </c>
      <c r="F30" s="104" t="s">
        <v>417</v>
      </c>
      <c r="G30">
        <v>496</v>
      </c>
      <c r="H30" s="105" t="s">
        <v>465</v>
      </c>
    </row>
    <row r="31" spans="1:8" ht="14.5" x14ac:dyDescent="0.35">
      <c r="A31">
        <v>30</v>
      </c>
      <c r="B31">
        <v>13</v>
      </c>
      <c r="C31" t="s">
        <v>419</v>
      </c>
      <c r="D31" t="s">
        <v>419</v>
      </c>
      <c r="E31" s="104" t="s">
        <v>418</v>
      </c>
      <c r="F31" s="104" t="s">
        <v>417</v>
      </c>
      <c r="G31">
        <v>496</v>
      </c>
      <c r="H31" s="105" t="s">
        <v>465</v>
      </c>
    </row>
    <row r="32" spans="1:8" ht="14.5" x14ac:dyDescent="0.35">
      <c r="A32">
        <v>31</v>
      </c>
      <c r="B32">
        <v>29</v>
      </c>
      <c r="C32" t="s">
        <v>802</v>
      </c>
      <c r="D32" t="s">
        <v>422</v>
      </c>
      <c r="E32" s="104" t="s">
        <v>421</v>
      </c>
      <c r="F32" s="104" t="s">
        <v>420</v>
      </c>
      <c r="G32">
        <v>778</v>
      </c>
      <c r="H32" s="105" t="s">
        <v>543</v>
      </c>
    </row>
    <row r="33" spans="1:8" ht="14.5" x14ac:dyDescent="0.35">
      <c r="A33">
        <v>32</v>
      </c>
      <c r="B33">
        <v>29</v>
      </c>
      <c r="C33" t="s">
        <v>802</v>
      </c>
      <c r="D33" t="s">
        <v>422</v>
      </c>
      <c r="E33" s="104" t="s">
        <v>421</v>
      </c>
      <c r="F33" s="104" t="s">
        <v>420</v>
      </c>
      <c r="G33">
        <v>778</v>
      </c>
      <c r="H33" s="105" t="s">
        <v>543</v>
      </c>
    </row>
    <row r="34" spans="1:8" ht="14.5" x14ac:dyDescent="0.35">
      <c r="A34">
        <v>33</v>
      </c>
      <c r="B34">
        <v>21</v>
      </c>
      <c r="C34" t="s">
        <v>425</v>
      </c>
      <c r="D34" t="s">
        <v>543</v>
      </c>
      <c r="E34" s="104" t="s">
        <v>598</v>
      </c>
      <c r="F34" s="104" t="s">
        <v>597</v>
      </c>
      <c r="G34">
        <v>885</v>
      </c>
      <c r="H34" s="105" t="s">
        <v>543</v>
      </c>
    </row>
    <row r="35" spans="1:8" ht="14.5" x14ac:dyDescent="0.35">
      <c r="A35">
        <v>34</v>
      </c>
      <c r="B35">
        <v>21</v>
      </c>
      <c r="C35" t="s">
        <v>425</v>
      </c>
      <c r="D35" t="s">
        <v>543</v>
      </c>
      <c r="E35" s="104" t="s">
        <v>598</v>
      </c>
      <c r="F35" s="104" t="s">
        <v>597</v>
      </c>
      <c r="G35">
        <v>890</v>
      </c>
      <c r="H35" s="105" t="s">
        <v>543</v>
      </c>
    </row>
    <row r="36" spans="1:8" ht="14.5" x14ac:dyDescent="0.35">
      <c r="A36">
        <v>35</v>
      </c>
      <c r="B36">
        <v>35</v>
      </c>
      <c r="C36" t="s">
        <v>429</v>
      </c>
      <c r="D36" t="s">
        <v>429</v>
      </c>
      <c r="E36" s="104" t="s">
        <v>428</v>
      </c>
      <c r="F36" s="104" t="s">
        <v>427</v>
      </c>
      <c r="G36">
        <v>973</v>
      </c>
      <c r="H36" s="105" t="s">
        <v>467</v>
      </c>
    </row>
    <row r="37" spans="1:8" ht="14.5" x14ac:dyDescent="0.35">
      <c r="A37">
        <v>36</v>
      </c>
      <c r="B37">
        <v>35</v>
      </c>
      <c r="C37" t="s">
        <v>429</v>
      </c>
      <c r="D37" t="s">
        <v>429</v>
      </c>
      <c r="E37" s="104" t="s">
        <v>428</v>
      </c>
      <c r="F37" s="104" t="s">
        <v>427</v>
      </c>
      <c r="G37">
        <v>1015</v>
      </c>
      <c r="H37" s="105" t="s">
        <v>467</v>
      </c>
    </row>
    <row r="38" spans="1:8" ht="14.5" x14ac:dyDescent="0.35">
      <c r="A38">
        <v>37</v>
      </c>
      <c r="B38">
        <v>49</v>
      </c>
      <c r="C38" t="s">
        <v>585</v>
      </c>
      <c r="D38" t="s">
        <v>588</v>
      </c>
      <c r="E38" s="104" t="s">
        <v>442</v>
      </c>
      <c r="F38" s="104" t="s">
        <v>441</v>
      </c>
      <c r="G38">
        <v>80</v>
      </c>
      <c r="H38" s="105" t="s">
        <v>588</v>
      </c>
    </row>
    <row r="39" spans="1:8" ht="14.5" x14ac:dyDescent="0.35">
      <c r="A39">
        <v>38</v>
      </c>
      <c r="B39">
        <v>49</v>
      </c>
      <c r="C39" t="s">
        <v>585</v>
      </c>
      <c r="D39" t="s">
        <v>588</v>
      </c>
      <c r="E39" s="104" t="s">
        <v>442</v>
      </c>
      <c r="F39" s="104" t="s">
        <v>441</v>
      </c>
      <c r="G39">
        <v>80</v>
      </c>
      <c r="H39" s="105" t="s">
        <v>588</v>
      </c>
    </row>
    <row r="40" spans="1:8" ht="14.5" x14ac:dyDescent="0.35">
      <c r="A40">
        <v>39</v>
      </c>
      <c r="H40" s="105"/>
    </row>
    <row r="41" spans="1:8" ht="14.5" x14ac:dyDescent="0.35">
      <c r="A41">
        <v>40</v>
      </c>
      <c r="B41">
        <v>62</v>
      </c>
      <c r="C41" t="s">
        <v>414</v>
      </c>
      <c r="D41" t="s">
        <v>380</v>
      </c>
      <c r="E41" t="s">
        <v>413</v>
      </c>
      <c r="F41" t="s">
        <v>412</v>
      </c>
      <c r="G41">
        <v>156</v>
      </c>
      <c r="H41" s="105" t="s">
        <v>381</v>
      </c>
    </row>
    <row r="42" spans="1:8" ht="14.5" x14ac:dyDescent="0.35">
      <c r="A42">
        <v>41</v>
      </c>
      <c r="B42">
        <v>62</v>
      </c>
      <c r="C42" t="s">
        <v>414</v>
      </c>
      <c r="D42" t="s">
        <v>380</v>
      </c>
      <c r="E42" t="s">
        <v>413</v>
      </c>
      <c r="F42" t="s">
        <v>412</v>
      </c>
      <c r="G42">
        <v>156</v>
      </c>
      <c r="H42" s="105" t="s">
        <v>381</v>
      </c>
    </row>
    <row r="43" spans="1:8" ht="14.5" x14ac:dyDescent="0.35">
      <c r="A43">
        <v>42</v>
      </c>
      <c r="B43">
        <v>12</v>
      </c>
      <c r="C43" t="s">
        <v>474</v>
      </c>
      <c r="D43" t="s">
        <v>474</v>
      </c>
      <c r="E43" t="s">
        <v>473</v>
      </c>
      <c r="F43" t="s">
        <v>472</v>
      </c>
      <c r="G43">
        <v>280</v>
      </c>
      <c r="H43" s="105" t="s">
        <v>475</v>
      </c>
    </row>
    <row r="44" spans="1:8" ht="14.5" x14ac:dyDescent="0.35">
      <c r="A44">
        <v>43</v>
      </c>
      <c r="B44">
        <v>6</v>
      </c>
      <c r="C44" t="s">
        <v>478</v>
      </c>
      <c r="D44" t="s">
        <v>478</v>
      </c>
      <c r="E44" t="s">
        <v>477</v>
      </c>
      <c r="F44" t="s">
        <v>412</v>
      </c>
      <c r="G44">
        <v>495</v>
      </c>
      <c r="H44" s="105" t="s">
        <v>484</v>
      </c>
    </row>
    <row r="45" spans="1:8" ht="14.5" x14ac:dyDescent="0.35">
      <c r="A45">
        <v>44</v>
      </c>
      <c r="B45">
        <v>6</v>
      </c>
      <c r="C45" t="s">
        <v>478</v>
      </c>
      <c r="D45" t="s">
        <v>478</v>
      </c>
      <c r="E45" t="s">
        <v>477</v>
      </c>
      <c r="F45" t="s">
        <v>412</v>
      </c>
      <c r="G45">
        <v>500</v>
      </c>
      <c r="H45" s="105" t="s">
        <v>484</v>
      </c>
    </row>
    <row r="46" spans="1:8" ht="14.5" x14ac:dyDescent="0.35">
      <c r="A46">
        <v>45</v>
      </c>
      <c r="B46">
        <v>3</v>
      </c>
      <c r="C46" t="s">
        <v>483</v>
      </c>
      <c r="D46" t="s">
        <v>483</v>
      </c>
      <c r="E46" t="s">
        <v>482</v>
      </c>
      <c r="F46" t="s">
        <v>481</v>
      </c>
      <c r="G46">
        <v>580</v>
      </c>
      <c r="H46" s="105" t="s">
        <v>485</v>
      </c>
    </row>
    <row r="47" spans="1:8" ht="14.5" x14ac:dyDescent="0.35">
      <c r="A47">
        <v>46</v>
      </c>
      <c r="H47" s="105"/>
    </row>
    <row r="48" spans="1:8" ht="14.5" x14ac:dyDescent="0.35">
      <c r="A48">
        <v>47</v>
      </c>
      <c r="B48">
        <v>62</v>
      </c>
      <c r="C48" t="s">
        <v>414</v>
      </c>
      <c r="D48" t="s">
        <v>380</v>
      </c>
      <c r="E48" t="s">
        <v>413</v>
      </c>
      <c r="F48" t="s">
        <v>412</v>
      </c>
      <c r="G48">
        <v>156</v>
      </c>
      <c r="H48" s="105" t="s">
        <v>381</v>
      </c>
    </row>
    <row r="49" spans="1:8" ht="14.5" x14ac:dyDescent="0.35">
      <c r="A49">
        <v>48</v>
      </c>
      <c r="B49">
        <v>12</v>
      </c>
      <c r="C49" t="s">
        <v>474</v>
      </c>
      <c r="D49" t="s">
        <v>474</v>
      </c>
      <c r="E49" t="s">
        <v>473</v>
      </c>
      <c r="F49" t="s">
        <v>472</v>
      </c>
      <c r="G49">
        <v>280</v>
      </c>
      <c r="H49" s="105" t="s">
        <v>475</v>
      </c>
    </row>
    <row r="50" spans="1:8" ht="14.5" x14ac:dyDescent="0.35">
      <c r="A50">
        <v>49</v>
      </c>
      <c r="B50">
        <v>7</v>
      </c>
      <c r="C50" t="s">
        <v>491</v>
      </c>
      <c r="D50" t="s">
        <v>492</v>
      </c>
      <c r="E50" t="s">
        <v>490</v>
      </c>
      <c r="F50" t="s">
        <v>489</v>
      </c>
      <c r="G50">
        <v>495</v>
      </c>
      <c r="H50" s="105" t="s">
        <v>484</v>
      </c>
    </row>
    <row r="51" spans="1:8" ht="14.5" x14ac:dyDescent="0.35">
      <c r="A51">
        <v>50</v>
      </c>
      <c r="B51">
        <v>32</v>
      </c>
      <c r="C51" t="s">
        <v>804</v>
      </c>
      <c r="D51" t="s">
        <v>496</v>
      </c>
      <c r="E51" t="s">
        <v>495</v>
      </c>
      <c r="F51" t="s">
        <v>494</v>
      </c>
      <c r="G51">
        <v>600</v>
      </c>
      <c r="H51" s="105" t="s">
        <v>496</v>
      </c>
    </row>
    <row r="52" spans="1:8" ht="14.5" x14ac:dyDescent="0.35">
      <c r="A52">
        <v>51</v>
      </c>
      <c r="B52">
        <v>9</v>
      </c>
      <c r="C52" t="s">
        <v>500</v>
      </c>
      <c r="D52" t="s">
        <v>500</v>
      </c>
      <c r="E52" t="s">
        <v>499</v>
      </c>
      <c r="F52" t="s">
        <v>498</v>
      </c>
      <c r="G52">
        <v>450</v>
      </c>
      <c r="H52" s="105" t="s">
        <v>501</v>
      </c>
    </row>
    <row r="53" spans="1:8" ht="14.5" x14ac:dyDescent="0.35">
      <c r="A53">
        <v>52</v>
      </c>
      <c r="H53" s="105"/>
    </row>
    <row r="54" spans="1:8" ht="14.5" x14ac:dyDescent="0.35">
      <c r="A54">
        <v>53</v>
      </c>
      <c r="B54">
        <v>14</v>
      </c>
      <c r="C54" t="s">
        <v>505</v>
      </c>
      <c r="D54" t="s">
        <v>505</v>
      </c>
      <c r="E54" t="s">
        <v>504</v>
      </c>
      <c r="F54" t="s">
        <v>503</v>
      </c>
      <c r="G54">
        <v>420</v>
      </c>
      <c r="H54" s="105" t="s">
        <v>510</v>
      </c>
    </row>
    <row r="55" spans="1:8" ht="14.5" x14ac:dyDescent="0.35">
      <c r="A55">
        <v>54</v>
      </c>
      <c r="B55">
        <v>16</v>
      </c>
      <c r="C55" t="s">
        <v>509</v>
      </c>
      <c r="D55" t="s">
        <v>509</v>
      </c>
      <c r="E55" t="s">
        <v>508</v>
      </c>
      <c r="F55" t="s">
        <v>507</v>
      </c>
      <c r="G55">
        <v>350</v>
      </c>
      <c r="H55" s="105" t="s">
        <v>510</v>
      </c>
    </row>
    <row r="56" spans="1:8" ht="14.5" x14ac:dyDescent="0.35">
      <c r="A56">
        <v>55</v>
      </c>
      <c r="H56" s="105"/>
    </row>
    <row r="57" spans="1:8" ht="14.5" x14ac:dyDescent="0.35">
      <c r="A57">
        <v>56</v>
      </c>
      <c r="B57">
        <v>14</v>
      </c>
      <c r="C57" t="s">
        <v>505</v>
      </c>
      <c r="D57" t="s">
        <v>505</v>
      </c>
      <c r="E57" t="s">
        <v>504</v>
      </c>
      <c r="F57" t="s">
        <v>503</v>
      </c>
      <c r="G57">
        <v>420</v>
      </c>
      <c r="H57" s="105" t="s">
        <v>510</v>
      </c>
    </row>
    <row r="58" spans="1:8" ht="14.5" x14ac:dyDescent="0.35">
      <c r="A58">
        <v>57</v>
      </c>
      <c r="B58">
        <v>17</v>
      </c>
      <c r="C58" t="s">
        <v>515</v>
      </c>
      <c r="D58" t="s">
        <v>516</v>
      </c>
      <c r="E58" t="s">
        <v>514</v>
      </c>
      <c r="F58" t="s">
        <v>513</v>
      </c>
      <c r="G58">
        <v>380</v>
      </c>
      <c r="H58" s="105" t="s">
        <v>510</v>
      </c>
    </row>
    <row r="59" spans="1:8" ht="14.5" x14ac:dyDescent="0.35">
      <c r="A59">
        <v>58</v>
      </c>
      <c r="B59">
        <v>57</v>
      </c>
      <c r="C59" t="s">
        <v>520</v>
      </c>
      <c r="D59" t="s">
        <v>380</v>
      </c>
      <c r="E59" t="s">
        <v>519</v>
      </c>
      <c r="F59" t="s">
        <v>518</v>
      </c>
      <c r="G59">
        <v>267</v>
      </c>
      <c r="H59" s="105" t="s">
        <v>381</v>
      </c>
    </row>
    <row r="60" spans="1:8" ht="14.5" x14ac:dyDescent="0.35">
      <c r="A60">
        <v>59</v>
      </c>
      <c r="H60" s="105"/>
    </row>
    <row r="61" spans="1:8" ht="14.5" x14ac:dyDescent="0.35">
      <c r="A61">
        <v>60</v>
      </c>
      <c r="B61">
        <v>56</v>
      </c>
      <c r="C61" t="s">
        <v>523</v>
      </c>
      <c r="D61" t="s">
        <v>523</v>
      </c>
      <c r="E61" t="s">
        <v>522</v>
      </c>
      <c r="F61" t="s">
        <v>521</v>
      </c>
      <c r="G61">
        <v>246</v>
      </c>
      <c r="H61" s="105" t="s">
        <v>381</v>
      </c>
    </row>
    <row r="62" spans="1:8" ht="14.5" x14ac:dyDescent="0.35">
      <c r="A62">
        <v>61</v>
      </c>
      <c r="B62">
        <v>49</v>
      </c>
      <c r="C62" t="s">
        <v>526</v>
      </c>
      <c r="D62" t="s">
        <v>526</v>
      </c>
      <c r="E62" t="s">
        <v>525</v>
      </c>
      <c r="F62" t="s">
        <v>524</v>
      </c>
      <c r="G62">
        <v>172</v>
      </c>
      <c r="H62" s="105" t="s">
        <v>381</v>
      </c>
    </row>
    <row r="63" spans="1:8" ht="14.5" x14ac:dyDescent="0.35">
      <c r="A63">
        <v>62</v>
      </c>
      <c r="H63" s="105"/>
    </row>
    <row r="64" spans="1:8" ht="14.5" x14ac:dyDescent="0.35">
      <c r="A64">
        <v>63</v>
      </c>
      <c r="B64">
        <v>61</v>
      </c>
      <c r="C64" t="s">
        <v>532</v>
      </c>
      <c r="D64" t="s">
        <v>380</v>
      </c>
      <c r="E64" t="s">
        <v>531</v>
      </c>
      <c r="F64" t="s">
        <v>530</v>
      </c>
      <c r="G64">
        <v>185</v>
      </c>
      <c r="H64" s="105" t="s">
        <v>381</v>
      </c>
    </row>
    <row r="65" spans="1:8" ht="14.5" x14ac:dyDescent="0.35">
      <c r="A65">
        <v>64</v>
      </c>
      <c r="B65">
        <v>58</v>
      </c>
      <c r="C65" t="s">
        <v>536</v>
      </c>
      <c r="D65" t="s">
        <v>536</v>
      </c>
      <c r="E65" t="s">
        <v>535</v>
      </c>
      <c r="F65" t="s">
        <v>534</v>
      </c>
      <c r="G65">
        <v>182</v>
      </c>
      <c r="H65" s="105" t="s">
        <v>381</v>
      </c>
    </row>
    <row r="66" spans="1:8" ht="14.5" x14ac:dyDescent="0.35">
      <c r="A66">
        <v>65</v>
      </c>
      <c r="H66" s="105"/>
    </row>
    <row r="67" spans="1:8" ht="14.5" x14ac:dyDescent="0.35">
      <c r="A67">
        <v>66</v>
      </c>
      <c r="B67">
        <v>29</v>
      </c>
      <c r="C67" t="s">
        <v>802</v>
      </c>
      <c r="D67" t="s">
        <v>422</v>
      </c>
      <c r="E67" t="s">
        <v>421</v>
      </c>
      <c r="F67" t="s">
        <v>420</v>
      </c>
      <c r="G67">
        <v>778</v>
      </c>
      <c r="H67" s="105" t="s">
        <v>543</v>
      </c>
    </row>
    <row r="68" spans="1:8" ht="14.5" x14ac:dyDescent="0.35">
      <c r="A68">
        <v>67</v>
      </c>
      <c r="B68">
        <v>20</v>
      </c>
      <c r="C68" t="s">
        <v>543</v>
      </c>
      <c r="D68" t="s">
        <v>543</v>
      </c>
      <c r="E68" t="s">
        <v>424</v>
      </c>
      <c r="F68" t="s">
        <v>423</v>
      </c>
      <c r="G68">
        <v>880</v>
      </c>
      <c r="H68" s="105" t="s">
        <v>543</v>
      </c>
    </row>
    <row r="69" spans="1:8" ht="14.5" x14ac:dyDescent="0.35">
      <c r="A69">
        <v>68</v>
      </c>
      <c r="B69">
        <v>45</v>
      </c>
      <c r="C69" t="s">
        <v>805</v>
      </c>
      <c r="D69" t="s">
        <v>467</v>
      </c>
      <c r="E69" t="s">
        <v>541</v>
      </c>
      <c r="F69" t="s">
        <v>540</v>
      </c>
      <c r="G69">
        <v>983</v>
      </c>
      <c r="H69" s="105" t="s">
        <v>467</v>
      </c>
    </row>
    <row r="70" spans="1:8" ht="14.5" x14ac:dyDescent="0.35">
      <c r="A70">
        <v>69</v>
      </c>
      <c r="B70">
        <v>49</v>
      </c>
      <c r="C70" t="s">
        <v>585</v>
      </c>
      <c r="D70" t="s">
        <v>588</v>
      </c>
      <c r="E70" s="104" t="s">
        <v>442</v>
      </c>
      <c r="F70" s="104" t="s">
        <v>441</v>
      </c>
      <c r="G70">
        <v>80</v>
      </c>
      <c r="H70" s="105" t="s">
        <v>588</v>
      </c>
    </row>
    <row r="71" spans="1:8" ht="14.5" x14ac:dyDescent="0.35">
      <c r="A71">
        <v>70</v>
      </c>
      <c r="E71" s="104"/>
      <c r="F71" s="104"/>
      <c r="H71" s="105"/>
    </row>
    <row r="72" spans="1:8" ht="14.5" x14ac:dyDescent="0.35">
      <c r="A72">
        <v>71</v>
      </c>
      <c r="B72">
        <v>62</v>
      </c>
      <c r="C72" t="s">
        <v>414</v>
      </c>
      <c r="D72" t="s">
        <v>380</v>
      </c>
      <c r="E72" t="s">
        <v>413</v>
      </c>
      <c r="F72" t="s">
        <v>412</v>
      </c>
      <c r="G72">
        <v>156</v>
      </c>
      <c r="H72" s="105" t="s">
        <v>381</v>
      </c>
    </row>
    <row r="73" spans="1:8" ht="14.5" x14ac:dyDescent="0.35">
      <c r="A73">
        <v>72</v>
      </c>
      <c r="B73">
        <v>7</v>
      </c>
      <c r="C73" t="s">
        <v>547</v>
      </c>
      <c r="D73" t="s">
        <v>492</v>
      </c>
      <c r="E73" t="s">
        <v>490</v>
      </c>
      <c r="F73" t="s">
        <v>489</v>
      </c>
      <c r="G73">
        <v>185</v>
      </c>
      <c r="H73" s="105" t="s">
        <v>484</v>
      </c>
    </row>
    <row r="74" spans="1:8" ht="14.5" x14ac:dyDescent="0.35">
      <c r="A74">
        <v>73</v>
      </c>
      <c r="H74" s="105"/>
    </row>
    <row r="75" spans="1:8" ht="14.5" x14ac:dyDescent="0.35">
      <c r="A75">
        <v>74</v>
      </c>
      <c r="B75">
        <v>30</v>
      </c>
      <c r="C75" t="s">
        <v>803</v>
      </c>
      <c r="D75" t="s">
        <v>422</v>
      </c>
      <c r="E75" s="104" t="s">
        <v>596</v>
      </c>
      <c r="F75" s="104" t="s">
        <v>595</v>
      </c>
      <c r="G75">
        <v>777</v>
      </c>
      <c r="H75" s="105" t="s">
        <v>543</v>
      </c>
    </row>
    <row r="76" spans="1:8" ht="14.5" x14ac:dyDescent="0.35">
      <c r="A76">
        <v>75</v>
      </c>
      <c r="B76">
        <v>21</v>
      </c>
      <c r="C76" t="s">
        <v>425</v>
      </c>
      <c r="D76" t="s">
        <v>543</v>
      </c>
      <c r="E76" s="104" t="s">
        <v>598</v>
      </c>
      <c r="F76" s="104" t="s">
        <v>597</v>
      </c>
      <c r="G76">
        <v>885</v>
      </c>
      <c r="H76" s="105" t="s">
        <v>543</v>
      </c>
    </row>
    <row r="77" spans="1:8" ht="14.5" x14ac:dyDescent="0.35">
      <c r="A77">
        <v>76</v>
      </c>
      <c r="B77">
        <v>44</v>
      </c>
      <c r="C77" t="s">
        <v>550</v>
      </c>
      <c r="D77" t="s">
        <v>550</v>
      </c>
      <c r="E77" s="104" t="s">
        <v>599</v>
      </c>
      <c r="F77" s="104" t="s">
        <v>577</v>
      </c>
      <c r="G77">
        <v>185</v>
      </c>
      <c r="H77" s="105" t="s">
        <v>467</v>
      </c>
    </row>
    <row r="78" spans="1:8" ht="14.5" x14ac:dyDescent="0.35">
      <c r="A78">
        <v>77</v>
      </c>
      <c r="B78">
        <v>30</v>
      </c>
      <c r="C78" t="s">
        <v>803</v>
      </c>
      <c r="D78" t="s">
        <v>422</v>
      </c>
      <c r="E78" s="104" t="s">
        <v>596</v>
      </c>
      <c r="F78" s="104" t="s">
        <v>595</v>
      </c>
      <c r="G78">
        <v>777</v>
      </c>
      <c r="H78" s="105" t="s">
        <v>543</v>
      </c>
    </row>
    <row r="79" spans="1:8" ht="14.5" x14ac:dyDescent="0.35">
      <c r="A79">
        <v>78</v>
      </c>
      <c r="B79">
        <v>21</v>
      </c>
      <c r="C79" t="s">
        <v>425</v>
      </c>
      <c r="D79" t="s">
        <v>543</v>
      </c>
      <c r="E79" s="104" t="s">
        <v>598</v>
      </c>
      <c r="F79" s="104" t="s">
        <v>597</v>
      </c>
      <c r="G79">
        <v>885</v>
      </c>
      <c r="H79" s="105" t="s">
        <v>543</v>
      </c>
    </row>
    <row r="80" spans="1:8" ht="14.5" x14ac:dyDescent="0.35">
      <c r="A80">
        <v>79</v>
      </c>
      <c r="B80">
        <v>30</v>
      </c>
      <c r="C80" t="s">
        <v>803</v>
      </c>
      <c r="D80" t="s">
        <v>422</v>
      </c>
      <c r="E80" s="104" t="s">
        <v>596</v>
      </c>
      <c r="F80" s="104" t="s">
        <v>595</v>
      </c>
      <c r="G80">
        <v>777</v>
      </c>
      <c r="H80" s="105" t="s">
        <v>543</v>
      </c>
    </row>
    <row r="81" spans="1:8" ht="14.5" x14ac:dyDescent="0.35">
      <c r="A81">
        <v>80</v>
      </c>
      <c r="B81">
        <v>43</v>
      </c>
      <c r="C81" t="s">
        <v>552</v>
      </c>
      <c r="D81" t="s">
        <v>552</v>
      </c>
      <c r="E81" s="104" t="s">
        <v>601</v>
      </c>
      <c r="F81" s="104" t="s">
        <v>600</v>
      </c>
      <c r="G81">
        <v>1080</v>
      </c>
      <c r="H81" s="105" t="s">
        <v>467</v>
      </c>
    </row>
    <row r="82" spans="1:8" ht="14.5" x14ac:dyDescent="0.35">
      <c r="A82">
        <v>81</v>
      </c>
      <c r="H82" s="105"/>
    </row>
    <row r="83" spans="1:8" ht="14.5" x14ac:dyDescent="0.35">
      <c r="A83">
        <v>82</v>
      </c>
      <c r="B83">
        <v>15</v>
      </c>
      <c r="C83" t="s">
        <v>562</v>
      </c>
      <c r="D83" t="s">
        <v>563</v>
      </c>
      <c r="E83" t="s">
        <v>561</v>
      </c>
      <c r="F83" t="s">
        <v>560</v>
      </c>
      <c r="G83">
        <v>252</v>
      </c>
      <c r="H83" s="105" t="s">
        <v>510</v>
      </c>
    </row>
    <row r="84" spans="1:8" ht="14.5" x14ac:dyDescent="0.35">
      <c r="A84">
        <v>83</v>
      </c>
      <c r="B84">
        <v>63</v>
      </c>
      <c r="C84" t="s">
        <v>414</v>
      </c>
      <c r="D84" t="s">
        <v>380</v>
      </c>
      <c r="E84" t="s">
        <v>565</v>
      </c>
      <c r="F84" t="s">
        <v>564</v>
      </c>
      <c r="G84">
        <v>151</v>
      </c>
      <c r="H84" s="105" t="s">
        <v>381</v>
      </c>
    </row>
    <row r="85" spans="1:8" ht="14.5" x14ac:dyDescent="0.35">
      <c r="A85">
        <v>84</v>
      </c>
      <c r="B85">
        <v>63</v>
      </c>
      <c r="C85" t="s">
        <v>414</v>
      </c>
      <c r="D85" t="s">
        <v>380</v>
      </c>
      <c r="E85" t="s">
        <v>565</v>
      </c>
      <c r="F85" t="s">
        <v>564</v>
      </c>
      <c r="G85">
        <v>151</v>
      </c>
      <c r="H85" s="105" t="s">
        <v>381</v>
      </c>
    </row>
    <row r="86" spans="1:8" ht="14.5" x14ac:dyDescent="0.35">
      <c r="A86">
        <v>85</v>
      </c>
      <c r="B86">
        <v>60</v>
      </c>
      <c r="C86" t="s">
        <v>381</v>
      </c>
      <c r="D86" t="s">
        <v>381</v>
      </c>
      <c r="E86" t="s">
        <v>567</v>
      </c>
      <c r="F86" t="s">
        <v>566</v>
      </c>
      <c r="G86">
        <v>260</v>
      </c>
      <c r="H86" s="105" t="s">
        <v>381</v>
      </c>
    </row>
    <row r="87" spans="1:8" ht="14.5" x14ac:dyDescent="0.35">
      <c r="A87">
        <v>86</v>
      </c>
      <c r="B87">
        <v>63</v>
      </c>
      <c r="C87" t="s">
        <v>414</v>
      </c>
      <c r="D87" t="s">
        <v>380</v>
      </c>
      <c r="E87" t="s">
        <v>565</v>
      </c>
      <c r="F87" t="s">
        <v>564</v>
      </c>
      <c r="G87">
        <v>151</v>
      </c>
      <c r="H87" s="105" t="s">
        <v>381</v>
      </c>
    </row>
    <row r="88" spans="1:8" ht="14.5" x14ac:dyDescent="0.35">
      <c r="A88">
        <v>87</v>
      </c>
      <c r="B88">
        <v>13</v>
      </c>
      <c r="C88" t="s">
        <v>568</v>
      </c>
      <c r="D88" t="s">
        <v>568</v>
      </c>
      <c r="E88" t="s">
        <v>418</v>
      </c>
      <c r="F88" t="s">
        <v>417</v>
      </c>
      <c r="G88">
        <v>496</v>
      </c>
      <c r="H88" s="105" t="s">
        <v>465</v>
      </c>
    </row>
    <row r="89" spans="1:8" ht="14.5" x14ac:dyDescent="0.35">
      <c r="A89">
        <v>88</v>
      </c>
      <c r="H89" s="105"/>
    </row>
    <row r="90" spans="1:8" ht="14.5" x14ac:dyDescent="0.35">
      <c r="A90">
        <v>89</v>
      </c>
      <c r="B90">
        <v>21</v>
      </c>
      <c r="C90" t="s">
        <v>425</v>
      </c>
      <c r="D90" t="s">
        <v>543</v>
      </c>
      <c r="E90" t="s">
        <v>575</v>
      </c>
      <c r="F90" t="s">
        <v>574</v>
      </c>
      <c r="G90">
        <v>820</v>
      </c>
      <c r="H90" s="105" t="s">
        <v>543</v>
      </c>
    </row>
    <row r="91" spans="1:8" ht="14.5" x14ac:dyDescent="0.35">
      <c r="A91">
        <v>90</v>
      </c>
      <c r="B91">
        <v>39</v>
      </c>
      <c r="C91" t="s">
        <v>620</v>
      </c>
      <c r="D91" t="s">
        <v>550</v>
      </c>
      <c r="E91" t="s">
        <v>578</v>
      </c>
      <c r="F91" t="s">
        <v>577</v>
      </c>
      <c r="G91">
        <v>971</v>
      </c>
      <c r="H91" s="105" t="s">
        <v>467</v>
      </c>
    </row>
    <row r="92" spans="1:8" ht="14.5" x14ac:dyDescent="0.35">
      <c r="A92">
        <v>91</v>
      </c>
      <c r="B92">
        <v>42</v>
      </c>
      <c r="C92" t="s">
        <v>583</v>
      </c>
      <c r="D92" t="s">
        <v>467</v>
      </c>
      <c r="E92" t="s">
        <v>581</v>
      </c>
      <c r="F92" t="s">
        <v>580</v>
      </c>
      <c r="G92">
        <v>1032</v>
      </c>
      <c r="H92" s="105" t="s">
        <v>467</v>
      </c>
    </row>
    <row r="93" spans="1:8" ht="14.5" x14ac:dyDescent="0.35">
      <c r="A93">
        <v>92</v>
      </c>
      <c r="B93">
        <v>50</v>
      </c>
      <c r="C93" t="s">
        <v>806</v>
      </c>
      <c r="D93" t="s">
        <v>585</v>
      </c>
      <c r="E93" t="s">
        <v>587</v>
      </c>
      <c r="F93" t="s">
        <v>586</v>
      </c>
      <c r="G93">
        <v>81</v>
      </c>
      <c r="H93" s="105" t="s">
        <v>588</v>
      </c>
    </row>
    <row r="94" spans="1:8" ht="14.5" x14ac:dyDescent="0.35">
      <c r="A94">
        <v>93</v>
      </c>
      <c r="H94" s="105"/>
    </row>
    <row r="95" spans="1:8" ht="14.5" x14ac:dyDescent="0.35">
      <c r="A95">
        <v>94</v>
      </c>
      <c r="B95">
        <v>26</v>
      </c>
      <c r="C95" t="s">
        <v>647</v>
      </c>
      <c r="D95" t="s">
        <v>649</v>
      </c>
      <c r="E95" t="s">
        <v>603</v>
      </c>
      <c r="F95" t="s">
        <v>602</v>
      </c>
      <c r="G95">
        <v>890</v>
      </c>
      <c r="H95" s="105" t="s">
        <v>543</v>
      </c>
    </row>
    <row r="96" spans="1:8" ht="14.5" x14ac:dyDescent="0.35">
      <c r="A96">
        <v>95</v>
      </c>
      <c r="B96">
        <v>27</v>
      </c>
      <c r="C96" t="s">
        <v>647</v>
      </c>
      <c r="D96" t="s">
        <v>649</v>
      </c>
      <c r="E96" t="s">
        <v>606</v>
      </c>
      <c r="F96" t="s">
        <v>605</v>
      </c>
      <c r="G96">
        <v>912</v>
      </c>
      <c r="H96" s="105" t="s">
        <v>543</v>
      </c>
    </row>
    <row r="97" spans="1:8" ht="14.5" x14ac:dyDescent="0.35">
      <c r="A97">
        <v>96</v>
      </c>
      <c r="B97">
        <v>28</v>
      </c>
      <c r="C97" t="s">
        <v>647</v>
      </c>
      <c r="D97" t="s">
        <v>649</v>
      </c>
      <c r="E97" t="s">
        <v>609</v>
      </c>
      <c r="F97" t="s">
        <v>608</v>
      </c>
      <c r="G97">
        <v>875</v>
      </c>
      <c r="H97" s="105" t="s">
        <v>543</v>
      </c>
    </row>
    <row r="98" spans="1:8" ht="14.5" x14ac:dyDescent="0.35">
      <c r="A98">
        <v>97</v>
      </c>
      <c r="B98">
        <v>23</v>
      </c>
      <c r="C98" t="s">
        <v>646</v>
      </c>
      <c r="D98" t="s">
        <v>650</v>
      </c>
      <c r="E98" t="s">
        <v>612</v>
      </c>
      <c r="F98" t="s">
        <v>611</v>
      </c>
      <c r="G98">
        <v>856</v>
      </c>
      <c r="H98" s="105" t="s">
        <v>543</v>
      </c>
    </row>
    <row r="99" spans="1:8" ht="14.5" x14ac:dyDescent="0.35">
      <c r="A99">
        <v>98</v>
      </c>
      <c r="B99">
        <v>24</v>
      </c>
      <c r="C99" t="s">
        <v>646</v>
      </c>
      <c r="D99" t="s">
        <v>650</v>
      </c>
      <c r="E99" t="s">
        <v>615</v>
      </c>
      <c r="F99" t="s">
        <v>614</v>
      </c>
      <c r="G99">
        <v>875</v>
      </c>
      <c r="H99" s="105" t="s">
        <v>543</v>
      </c>
    </row>
    <row r="100" spans="1:8" ht="14.5" x14ac:dyDescent="0.35">
      <c r="A100">
        <v>99</v>
      </c>
      <c r="B100">
        <v>25</v>
      </c>
      <c r="C100" t="s">
        <v>646</v>
      </c>
      <c r="D100" t="s">
        <v>650</v>
      </c>
      <c r="E100" t="s">
        <v>618</v>
      </c>
      <c r="F100" t="s">
        <v>617</v>
      </c>
      <c r="G100">
        <v>835</v>
      </c>
      <c r="H100" s="105" t="s">
        <v>543</v>
      </c>
    </row>
    <row r="101" spans="1:8" ht="14.5" x14ac:dyDescent="0.35">
      <c r="A101">
        <v>100</v>
      </c>
      <c r="B101">
        <v>39</v>
      </c>
      <c r="C101" t="s">
        <v>620</v>
      </c>
      <c r="D101" t="s">
        <v>550</v>
      </c>
      <c r="E101" t="s">
        <v>578</v>
      </c>
      <c r="F101" t="s">
        <v>577</v>
      </c>
      <c r="G101">
        <v>971</v>
      </c>
      <c r="H101" s="105" t="s">
        <v>467</v>
      </c>
    </row>
    <row r="102" spans="1:8" ht="14.5" x14ac:dyDescent="0.35">
      <c r="A102">
        <v>101</v>
      </c>
      <c r="B102">
        <v>40</v>
      </c>
      <c r="C102" t="s">
        <v>623</v>
      </c>
      <c r="D102" t="s">
        <v>550</v>
      </c>
      <c r="E102" t="s">
        <v>622</v>
      </c>
      <c r="F102" t="s">
        <v>621</v>
      </c>
      <c r="G102">
        <v>995</v>
      </c>
      <c r="H102" s="105" t="s">
        <v>467</v>
      </c>
    </row>
    <row r="103" spans="1:8" ht="14.5" x14ac:dyDescent="0.35">
      <c r="A103">
        <v>102</v>
      </c>
      <c r="B103">
        <v>41</v>
      </c>
      <c r="C103" t="s">
        <v>626</v>
      </c>
      <c r="D103" t="s">
        <v>550</v>
      </c>
      <c r="E103" t="s">
        <v>625</v>
      </c>
      <c r="F103" t="s">
        <v>624</v>
      </c>
      <c r="G103">
        <v>950</v>
      </c>
      <c r="H103" s="105" t="s">
        <v>467</v>
      </c>
    </row>
    <row r="104" spans="1:8" ht="14.5" x14ac:dyDescent="0.35">
      <c r="A104">
        <v>103</v>
      </c>
      <c r="B104">
        <v>36</v>
      </c>
      <c r="C104" t="s">
        <v>629</v>
      </c>
      <c r="D104" t="s">
        <v>651</v>
      </c>
      <c r="E104" t="s">
        <v>628</v>
      </c>
      <c r="F104" t="s">
        <v>627</v>
      </c>
      <c r="G104">
        <v>1018</v>
      </c>
      <c r="H104" s="105" t="s">
        <v>467</v>
      </c>
    </row>
    <row r="105" spans="1:8" ht="14.5" x14ac:dyDescent="0.35">
      <c r="A105">
        <v>104</v>
      </c>
      <c r="B105">
        <v>37</v>
      </c>
      <c r="C105" t="s">
        <v>632</v>
      </c>
      <c r="D105" t="s">
        <v>651</v>
      </c>
      <c r="E105" t="s">
        <v>631</v>
      </c>
      <c r="F105" t="s">
        <v>630</v>
      </c>
      <c r="G105">
        <v>1045</v>
      </c>
      <c r="H105" s="105" t="s">
        <v>467</v>
      </c>
    </row>
    <row r="106" spans="1:8" ht="14.5" x14ac:dyDescent="0.35">
      <c r="A106">
        <v>105</v>
      </c>
      <c r="B106">
        <v>38</v>
      </c>
      <c r="C106" t="s">
        <v>635</v>
      </c>
      <c r="D106" t="s">
        <v>651</v>
      </c>
      <c r="E106" t="s">
        <v>634</v>
      </c>
      <c r="F106" t="s">
        <v>633</v>
      </c>
      <c r="G106">
        <v>995</v>
      </c>
      <c r="H106" s="105" t="s">
        <v>467</v>
      </c>
    </row>
    <row r="107" spans="1:8" ht="14.5" x14ac:dyDescent="0.35">
      <c r="A107">
        <v>106</v>
      </c>
      <c r="B107">
        <v>51</v>
      </c>
      <c r="C107" t="s">
        <v>638</v>
      </c>
      <c r="D107" t="s">
        <v>652</v>
      </c>
      <c r="E107" t="s">
        <v>637</v>
      </c>
      <c r="F107" t="s">
        <v>636</v>
      </c>
      <c r="G107">
        <v>650</v>
      </c>
      <c r="H107" s="105" t="s">
        <v>588</v>
      </c>
    </row>
    <row r="108" spans="1:8" ht="14.5" x14ac:dyDescent="0.35">
      <c r="A108">
        <v>107</v>
      </c>
      <c r="B108">
        <v>52</v>
      </c>
      <c r="C108" t="s">
        <v>641</v>
      </c>
      <c r="D108" t="s">
        <v>652</v>
      </c>
      <c r="E108" t="s">
        <v>640</v>
      </c>
      <c r="F108" t="s">
        <v>639</v>
      </c>
      <c r="G108">
        <v>680</v>
      </c>
      <c r="H108" s="105" t="s">
        <v>588</v>
      </c>
    </row>
    <row r="109" spans="1:8" ht="14.5" x14ac:dyDescent="0.35">
      <c r="A109">
        <v>108</v>
      </c>
      <c r="B109">
        <v>53</v>
      </c>
      <c r="C109" t="s">
        <v>644</v>
      </c>
      <c r="D109" t="s">
        <v>652</v>
      </c>
      <c r="E109" t="s">
        <v>643</v>
      </c>
      <c r="F109" t="s">
        <v>642</v>
      </c>
      <c r="G109">
        <v>620</v>
      </c>
      <c r="H109" s="105" t="s">
        <v>588</v>
      </c>
    </row>
    <row r="110" spans="1:8" ht="14.5" x14ac:dyDescent="0.35">
      <c r="A110">
        <v>109</v>
      </c>
      <c r="H110" s="105"/>
    </row>
    <row r="111" spans="1:8" ht="14.5" x14ac:dyDescent="0.35">
      <c r="A111">
        <v>110</v>
      </c>
      <c r="B111">
        <v>11</v>
      </c>
      <c r="C111" t="s">
        <v>669</v>
      </c>
      <c r="D111" t="s">
        <v>669</v>
      </c>
      <c r="E111" t="s">
        <v>672</v>
      </c>
      <c r="F111" t="s">
        <v>671</v>
      </c>
      <c r="G111">
        <v>965.96</v>
      </c>
      <c r="H111" s="105" t="s">
        <v>673</v>
      </c>
    </row>
    <row r="112" spans="1:8" ht="14.5" x14ac:dyDescent="0.35">
      <c r="A112">
        <v>111</v>
      </c>
      <c r="H112" s="105"/>
    </row>
    <row r="113" spans="1:8" ht="14.5" x14ac:dyDescent="0.35">
      <c r="A113">
        <v>112</v>
      </c>
      <c r="B113">
        <v>22</v>
      </c>
      <c r="C113" t="s">
        <v>675</v>
      </c>
      <c r="D113" t="s">
        <v>678</v>
      </c>
      <c r="E113" t="s">
        <v>677</v>
      </c>
      <c r="F113" t="s">
        <v>676</v>
      </c>
      <c r="G113">
        <v>715</v>
      </c>
      <c r="H113" s="105" t="s">
        <v>543</v>
      </c>
    </row>
    <row r="114" spans="1:8" ht="14.5" x14ac:dyDescent="0.35">
      <c r="A114">
        <v>113</v>
      </c>
      <c r="B114">
        <v>54</v>
      </c>
      <c r="C114" t="s">
        <v>681</v>
      </c>
      <c r="D114" t="s">
        <v>681</v>
      </c>
      <c r="E114" t="s">
        <v>680</v>
      </c>
      <c r="F114" t="s">
        <v>679</v>
      </c>
      <c r="G114">
        <v>397</v>
      </c>
      <c r="H114" s="105" t="s">
        <v>681</v>
      </c>
    </row>
    <row r="115" spans="1:8" ht="14.5" x14ac:dyDescent="0.35">
      <c r="A115">
        <v>114</v>
      </c>
      <c r="B115">
        <v>55</v>
      </c>
      <c r="C115" t="s">
        <v>683</v>
      </c>
      <c r="D115" t="s">
        <v>681</v>
      </c>
      <c r="E115" t="s">
        <v>670</v>
      </c>
      <c r="F115" t="s">
        <v>682</v>
      </c>
      <c r="G115">
        <v>389</v>
      </c>
      <c r="H115" s="105" t="s">
        <v>681</v>
      </c>
    </row>
    <row r="116" spans="1:8" ht="14.5" x14ac:dyDescent="0.35">
      <c r="A116">
        <v>115</v>
      </c>
      <c r="B116">
        <v>4</v>
      </c>
      <c r="C116" t="s">
        <v>686</v>
      </c>
      <c r="D116" t="s">
        <v>485</v>
      </c>
      <c r="E116" t="s">
        <v>685</v>
      </c>
      <c r="F116" t="s">
        <v>684</v>
      </c>
      <c r="G116">
        <v>575</v>
      </c>
      <c r="H116" s="105" t="s">
        <v>485</v>
      </c>
    </row>
    <row r="117" spans="1:8" ht="14.5" x14ac:dyDescent="0.35">
      <c r="A117">
        <v>116</v>
      </c>
      <c r="B117">
        <v>31</v>
      </c>
      <c r="C117" t="s">
        <v>689</v>
      </c>
      <c r="D117" t="s">
        <v>690</v>
      </c>
      <c r="E117" t="s">
        <v>688</v>
      </c>
      <c r="F117" t="s">
        <v>687</v>
      </c>
      <c r="G117">
        <v>926</v>
      </c>
      <c r="H117" s="105" t="s">
        <v>696</v>
      </c>
    </row>
    <row r="118" spans="1:8" ht="14.5" x14ac:dyDescent="0.35">
      <c r="A118">
        <v>117</v>
      </c>
      <c r="H118" s="105"/>
    </row>
    <row r="119" spans="1:8" ht="14.5" x14ac:dyDescent="0.35">
      <c r="A119">
        <v>118</v>
      </c>
      <c r="B119">
        <v>8</v>
      </c>
      <c r="C119" t="s">
        <v>700</v>
      </c>
      <c r="D119" t="s">
        <v>701</v>
      </c>
      <c r="E119" t="s">
        <v>698</v>
      </c>
      <c r="F119" t="s">
        <v>697</v>
      </c>
      <c r="G119" t="s">
        <v>699</v>
      </c>
      <c r="H119" s="105" t="s">
        <v>484</v>
      </c>
    </row>
    <row r="120" spans="1:8" ht="14.5" x14ac:dyDescent="0.35">
      <c r="A120">
        <v>119</v>
      </c>
      <c r="H120" s="105"/>
    </row>
    <row r="121" spans="1:8" ht="14.5" x14ac:dyDescent="0.35">
      <c r="A121">
        <v>120</v>
      </c>
      <c r="B121">
        <v>10</v>
      </c>
      <c r="C121" t="s">
        <v>705</v>
      </c>
      <c r="D121" t="s">
        <v>706</v>
      </c>
      <c r="E121" t="s">
        <v>704</v>
      </c>
      <c r="F121" t="s">
        <v>703</v>
      </c>
      <c r="G121">
        <v>1100</v>
      </c>
      <c r="H121" s="105" t="s">
        <v>707</v>
      </c>
    </row>
    <row r="122" spans="1:8" ht="14.5" x14ac:dyDescent="0.35">
      <c r="A122">
        <v>121</v>
      </c>
      <c r="H122" s="105"/>
    </row>
    <row r="123" spans="1:8" ht="14.5" x14ac:dyDescent="0.35">
      <c r="A123">
        <v>122</v>
      </c>
      <c r="B123">
        <v>30</v>
      </c>
      <c r="C123" t="s">
        <v>803</v>
      </c>
      <c r="D123" t="s">
        <v>422</v>
      </c>
      <c r="E123" t="s">
        <v>596</v>
      </c>
      <c r="F123" t="s">
        <v>595</v>
      </c>
      <c r="G123">
        <v>777</v>
      </c>
      <c r="H123" s="105" t="s">
        <v>543</v>
      </c>
    </row>
    <row r="124" spans="1:8" ht="14.5" x14ac:dyDescent="0.35">
      <c r="A124">
        <v>123</v>
      </c>
      <c r="B124">
        <v>19</v>
      </c>
      <c r="C124" t="s">
        <v>710</v>
      </c>
      <c r="D124" t="s">
        <v>711</v>
      </c>
      <c r="E124" t="s">
        <v>709</v>
      </c>
      <c r="F124" t="s">
        <v>708</v>
      </c>
      <c r="G124">
        <v>600</v>
      </c>
      <c r="H124" s="105" t="s">
        <v>711</v>
      </c>
    </row>
    <row r="125" spans="1:8" ht="14.5" x14ac:dyDescent="0.35">
      <c r="A125">
        <v>124</v>
      </c>
      <c r="H125" s="105"/>
    </row>
    <row r="126" spans="1:8" ht="14.5" x14ac:dyDescent="0.35">
      <c r="A126">
        <v>125</v>
      </c>
      <c r="B126">
        <v>18</v>
      </c>
      <c r="C126" t="s">
        <v>778</v>
      </c>
      <c r="D126" t="s">
        <v>563</v>
      </c>
      <c r="E126" t="s">
        <v>717</v>
      </c>
      <c r="F126" t="s">
        <v>716</v>
      </c>
      <c r="G126">
        <v>470</v>
      </c>
      <c r="H126" s="105" t="s">
        <v>510</v>
      </c>
    </row>
    <row r="127" spans="1:8" ht="14.5" x14ac:dyDescent="0.35">
      <c r="A127">
        <v>126</v>
      </c>
      <c r="B127">
        <v>15</v>
      </c>
      <c r="C127" t="s">
        <v>562</v>
      </c>
      <c r="D127" t="s">
        <v>563</v>
      </c>
      <c r="E127" t="s">
        <v>720</v>
      </c>
      <c r="F127" t="s">
        <v>719</v>
      </c>
      <c r="G127">
        <v>252</v>
      </c>
      <c r="H127" s="105" t="s">
        <v>724</v>
      </c>
    </row>
    <row r="128" spans="1:8" ht="14.5" x14ac:dyDescent="0.35">
      <c r="A128">
        <v>127</v>
      </c>
      <c r="B128">
        <v>64</v>
      </c>
      <c r="C128" t="s">
        <v>723</v>
      </c>
      <c r="D128" t="s">
        <v>380</v>
      </c>
      <c r="E128" t="s">
        <v>722</v>
      </c>
      <c r="F128" t="s">
        <v>721</v>
      </c>
      <c r="G128">
        <v>166</v>
      </c>
      <c r="H128" s="105" t="s">
        <v>381</v>
      </c>
    </row>
    <row r="129" spans="1:8" ht="14.5" x14ac:dyDescent="0.35">
      <c r="A129">
        <v>128</v>
      </c>
      <c r="B129">
        <v>60</v>
      </c>
      <c r="C129" t="s">
        <v>381</v>
      </c>
      <c r="D129" t="s">
        <v>381</v>
      </c>
      <c r="E129" t="s">
        <v>567</v>
      </c>
      <c r="F129" t="s">
        <v>566</v>
      </c>
      <c r="G129">
        <v>260</v>
      </c>
      <c r="H129" s="105" t="s">
        <v>381</v>
      </c>
    </row>
    <row r="130" spans="1:8" x14ac:dyDescent="0.3">
      <c r="A130">
        <v>129</v>
      </c>
      <c r="B130">
        <v>30</v>
      </c>
      <c r="C130" t="s">
        <v>803</v>
      </c>
      <c r="D130" t="s">
        <v>422</v>
      </c>
      <c r="E130" t="s">
        <v>596</v>
      </c>
      <c r="F130" t="s">
        <v>595</v>
      </c>
      <c r="G130">
        <v>777</v>
      </c>
      <c r="H130" t="s">
        <v>543</v>
      </c>
    </row>
  </sheetData>
  <autoFilter ref="A1:H130" xr:uid="{80686E04-0BDF-4440-9AB0-03D4B509E85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C1840-4676-4115-AC3B-422320CE3158}">
  <dimension ref="A1:I66"/>
  <sheetViews>
    <sheetView workbookViewId="0">
      <selection activeCell="I1" sqref="I1"/>
    </sheetView>
  </sheetViews>
  <sheetFormatPr baseColWidth="10" defaultRowHeight="14" x14ac:dyDescent="0.3"/>
  <cols>
    <col min="1" max="1" width="15.09765625" bestFit="1" customWidth="1"/>
    <col min="2" max="2" width="18.69921875" bestFit="1" customWidth="1"/>
    <col min="3" max="3" width="18.8984375" bestFit="1" customWidth="1"/>
  </cols>
  <sheetData>
    <row r="1" spans="1:9" x14ac:dyDescent="0.3">
      <c r="A1" t="s">
        <v>800</v>
      </c>
      <c r="B1" t="s">
        <v>393</v>
      </c>
      <c r="C1" t="s">
        <v>220</v>
      </c>
      <c r="D1" t="s">
        <v>798</v>
      </c>
      <c r="E1" t="s">
        <v>411</v>
      </c>
      <c r="F1" t="s">
        <v>799</v>
      </c>
      <c r="I1" t="s">
        <v>807</v>
      </c>
    </row>
    <row r="2" spans="1:9" ht="14.5" x14ac:dyDescent="0.35">
      <c r="A2">
        <v>1</v>
      </c>
      <c r="B2" s="105" t="s">
        <v>792</v>
      </c>
      <c r="C2" s="105" t="s">
        <v>389</v>
      </c>
      <c r="D2" s="104" t="s">
        <v>443</v>
      </c>
      <c r="E2" s="104" t="s">
        <v>444</v>
      </c>
      <c r="F2" s="105">
        <v>2</v>
      </c>
      <c r="I2" t="str">
        <f>+CONCATENATE("(",A2,",0,'",B2,"',",D2,",",E2,",",F2,"),")</f>
        <v>(1,0,'Bethioua',35.80539,-0.24097,2),</v>
      </c>
    </row>
    <row r="3" spans="1:9" ht="14.5" x14ac:dyDescent="0.35">
      <c r="A3">
        <v>2</v>
      </c>
      <c r="B3" s="105" t="s">
        <v>796</v>
      </c>
      <c r="C3" s="105" t="s">
        <v>389</v>
      </c>
      <c r="D3" s="104" t="s">
        <v>447</v>
      </c>
      <c r="E3" s="104" t="s">
        <v>430</v>
      </c>
      <c r="F3" s="105">
        <v>2</v>
      </c>
      <c r="I3" t="str">
        <f t="shared" ref="I3:I66" si="0">+CONCATENATE("(",A3,",0,'",B3,"',",D3,",",E3,",",F3,"),")</f>
        <v>(2,0,'Mers El Hadjadj',35.8619,-0.3445,2),</v>
      </c>
    </row>
    <row r="4" spans="1:9" ht="14.5" x14ac:dyDescent="0.35">
      <c r="A4">
        <v>3</v>
      </c>
      <c r="B4" s="105" t="s">
        <v>793</v>
      </c>
      <c r="C4" s="105" t="s">
        <v>792</v>
      </c>
      <c r="D4" s="104" t="s">
        <v>460</v>
      </c>
      <c r="E4" s="104" t="s">
        <v>461</v>
      </c>
      <c r="F4" s="105">
        <v>2</v>
      </c>
      <c r="I4" t="str">
        <f t="shared" si="0"/>
        <v>(3,0,'Ain Bya',35.80739,-0.34313,2),</v>
      </c>
    </row>
    <row r="5" spans="1:9" x14ac:dyDescent="0.3">
      <c r="A5">
        <v>4</v>
      </c>
      <c r="B5" t="s">
        <v>686</v>
      </c>
      <c r="C5" t="s">
        <v>485</v>
      </c>
      <c r="D5" t="s">
        <v>685</v>
      </c>
      <c r="E5" t="s">
        <v>684</v>
      </c>
      <c r="F5">
        <v>575</v>
      </c>
      <c r="I5" t="str">
        <f t="shared" si="0"/>
        <v>(4,0,'Sefiane',35.2345,6.1234,575),</v>
      </c>
    </row>
    <row r="6" spans="1:9" ht="14.5" x14ac:dyDescent="0.35">
      <c r="A6">
        <v>5</v>
      </c>
      <c r="B6" s="105" t="s">
        <v>405</v>
      </c>
      <c r="C6" s="105" t="s">
        <v>405</v>
      </c>
      <c r="D6" s="104" t="s">
        <v>402</v>
      </c>
      <c r="E6" s="104" t="s">
        <v>403</v>
      </c>
      <c r="F6" s="105">
        <v>52</v>
      </c>
      <c r="I6" t="str">
        <f t="shared" si="0"/>
        <v>(5,0,'Béjaïa',36.7509,5.0586,52),</v>
      </c>
    </row>
    <row r="7" spans="1:9" x14ac:dyDescent="0.3">
      <c r="A7">
        <v>6</v>
      </c>
      <c r="B7" t="s">
        <v>478</v>
      </c>
      <c r="C7" t="s">
        <v>478</v>
      </c>
      <c r="D7" t="s">
        <v>477</v>
      </c>
      <c r="E7" t="s">
        <v>412</v>
      </c>
      <c r="F7">
        <v>495</v>
      </c>
      <c r="I7" t="str">
        <f t="shared" si="0"/>
        <v>(6,0,'Tolga',34.8333,6.0710,495),</v>
      </c>
    </row>
    <row r="8" spans="1:9" x14ac:dyDescent="0.3">
      <c r="A8">
        <v>7</v>
      </c>
      <c r="B8" t="s">
        <v>491</v>
      </c>
      <c r="C8" t="s">
        <v>492</v>
      </c>
      <c r="D8" t="s">
        <v>490</v>
      </c>
      <c r="E8" t="s">
        <v>489</v>
      </c>
      <c r="F8">
        <v>495</v>
      </c>
      <c r="I8" t="str">
        <f t="shared" si="0"/>
        <v>(7,0,'Ferme Omar Driss',35.0341,5.5952,495),</v>
      </c>
    </row>
    <row r="9" spans="1:9" x14ac:dyDescent="0.3">
      <c r="A9">
        <v>8</v>
      </c>
      <c r="B9" t="s">
        <v>700</v>
      </c>
      <c r="C9" t="s">
        <v>701</v>
      </c>
      <c r="D9" t="s">
        <v>698</v>
      </c>
      <c r="E9" t="s">
        <v>697</v>
      </c>
      <c r="F9" t="s">
        <v>699</v>
      </c>
      <c r="I9" t="str">
        <f t="shared" si="0"/>
        <v>(8,0,'Ain Naga',34.6863,6.0942,-1.6),</v>
      </c>
    </row>
    <row r="10" spans="1:9" x14ac:dyDescent="0.3">
      <c r="A10">
        <v>9</v>
      </c>
      <c r="B10" t="s">
        <v>500</v>
      </c>
      <c r="C10" t="s">
        <v>500</v>
      </c>
      <c r="D10" t="s">
        <v>499</v>
      </c>
      <c r="E10" t="s">
        <v>498</v>
      </c>
      <c r="F10">
        <v>450</v>
      </c>
      <c r="I10" t="str">
        <f t="shared" si="0"/>
        <v>(9,0,'Béni Mansour',36.3361,4.3559,450),</v>
      </c>
    </row>
    <row r="11" spans="1:9" x14ac:dyDescent="0.3">
      <c r="A11">
        <v>10</v>
      </c>
      <c r="B11" t="s">
        <v>705</v>
      </c>
      <c r="C11" t="s">
        <v>706</v>
      </c>
      <c r="D11" t="s">
        <v>704</v>
      </c>
      <c r="E11" t="s">
        <v>703</v>
      </c>
      <c r="F11">
        <v>1100</v>
      </c>
      <c r="I11" t="str">
        <f t="shared" si="0"/>
        <v>(10,0,'Moudjebara',34.5066,3.4704,1100),</v>
      </c>
    </row>
    <row r="12" spans="1:9" x14ac:dyDescent="0.3">
      <c r="A12">
        <v>11</v>
      </c>
      <c r="B12" t="s">
        <v>669</v>
      </c>
      <c r="C12" t="s">
        <v>669</v>
      </c>
      <c r="D12" t="s">
        <v>672</v>
      </c>
      <c r="E12" t="s">
        <v>671</v>
      </c>
      <c r="F12">
        <v>965.96</v>
      </c>
      <c r="I12" t="str">
        <f t="shared" si="0"/>
        <v>(11,0,'Labiodh Sidi Cheikh',32.9100,0.5450,965,96),</v>
      </c>
    </row>
    <row r="13" spans="1:9" x14ac:dyDescent="0.3">
      <c r="A13">
        <v>12</v>
      </c>
      <c r="B13" t="s">
        <v>474</v>
      </c>
      <c r="C13" t="s">
        <v>474</v>
      </c>
      <c r="D13" t="s">
        <v>473</v>
      </c>
      <c r="E13" t="s">
        <v>472</v>
      </c>
      <c r="F13">
        <v>280</v>
      </c>
      <c r="I13" t="str">
        <f t="shared" si="0"/>
        <v>(12,0,'Djamaa',33.9327,5.9304,280),</v>
      </c>
    </row>
    <row r="14" spans="1:9" x14ac:dyDescent="0.3">
      <c r="A14">
        <v>13</v>
      </c>
      <c r="B14" t="s">
        <v>419</v>
      </c>
      <c r="C14" t="s">
        <v>419</v>
      </c>
      <c r="D14" s="104" t="s">
        <v>418</v>
      </c>
      <c r="E14" s="104" t="s">
        <v>417</v>
      </c>
      <c r="F14">
        <v>496</v>
      </c>
      <c r="I14" t="str">
        <f t="shared" si="0"/>
        <v>(13,0,'Al Atteuf',32.4775,3.7478,496),</v>
      </c>
    </row>
    <row r="15" spans="1:9" x14ac:dyDescent="0.3">
      <c r="A15">
        <v>14</v>
      </c>
      <c r="B15" t="s">
        <v>505</v>
      </c>
      <c r="C15" t="s">
        <v>505</v>
      </c>
      <c r="D15" t="s">
        <v>504</v>
      </c>
      <c r="E15" t="s">
        <v>503</v>
      </c>
      <c r="F15">
        <v>420</v>
      </c>
      <c r="I15" t="str">
        <f t="shared" si="0"/>
        <v>(14,0,'In Amenas',28.040833,9.543056,420),</v>
      </c>
    </row>
    <row r="16" spans="1:9" x14ac:dyDescent="0.3">
      <c r="A16">
        <v>15</v>
      </c>
      <c r="B16" t="s">
        <v>562</v>
      </c>
      <c r="C16" t="s">
        <v>563</v>
      </c>
      <c r="D16" t="s">
        <v>561</v>
      </c>
      <c r="E16" t="s">
        <v>560</v>
      </c>
      <c r="F16">
        <v>252</v>
      </c>
      <c r="I16" t="str">
        <f t="shared" si="0"/>
        <v>(15,0,'Rhourde Nouss',29.7402,6.7022,252),</v>
      </c>
    </row>
    <row r="17" spans="1:9" x14ac:dyDescent="0.3">
      <c r="A17">
        <v>16</v>
      </c>
      <c r="B17" t="s">
        <v>509</v>
      </c>
      <c r="C17" t="s">
        <v>509</v>
      </c>
      <c r="D17" t="s">
        <v>508</v>
      </c>
      <c r="E17" t="s">
        <v>507</v>
      </c>
      <c r="F17">
        <v>350</v>
      </c>
      <c r="I17" t="str">
        <f t="shared" si="0"/>
        <v>(16,0,'Deb Deb',29.967215,9.422346,350),</v>
      </c>
    </row>
    <row r="18" spans="1:9" x14ac:dyDescent="0.3">
      <c r="A18">
        <v>17</v>
      </c>
      <c r="B18" t="s">
        <v>515</v>
      </c>
      <c r="C18" t="s">
        <v>516</v>
      </c>
      <c r="D18" t="s">
        <v>514</v>
      </c>
      <c r="E18" t="s">
        <v>513</v>
      </c>
      <c r="F18">
        <v>380</v>
      </c>
      <c r="I18" t="str">
        <f t="shared" si="0"/>
        <v>(17,0,'Mederba',27.000000,8.500000,380),</v>
      </c>
    </row>
    <row r="19" spans="1:9" x14ac:dyDescent="0.3">
      <c r="A19">
        <v>18</v>
      </c>
      <c r="B19" t="s">
        <v>778</v>
      </c>
      <c r="C19" t="s">
        <v>563</v>
      </c>
      <c r="D19" t="s">
        <v>717</v>
      </c>
      <c r="E19" t="s">
        <v>716</v>
      </c>
      <c r="F19">
        <v>470</v>
      </c>
      <c r="I19" t="str">
        <f t="shared" si="0"/>
        <v>(18,0,'TFT',28.1464,6.8256,470),</v>
      </c>
    </row>
    <row r="20" spans="1:9" x14ac:dyDescent="0.3">
      <c r="A20">
        <v>19</v>
      </c>
      <c r="B20" t="s">
        <v>710</v>
      </c>
      <c r="C20" t="s">
        <v>711</v>
      </c>
      <c r="D20" t="s">
        <v>709</v>
      </c>
      <c r="E20" t="s">
        <v>708</v>
      </c>
      <c r="F20">
        <v>600</v>
      </c>
      <c r="I20" t="str">
        <f t="shared" si="0"/>
        <v>(19,0,'Krechba',28.6422,2.8251,600),</v>
      </c>
    </row>
    <row r="21" spans="1:9" x14ac:dyDescent="0.3">
      <c r="A21">
        <v>20</v>
      </c>
      <c r="B21" t="s">
        <v>543</v>
      </c>
      <c r="C21" t="s">
        <v>543</v>
      </c>
      <c r="D21" t="s">
        <v>424</v>
      </c>
      <c r="E21" t="s">
        <v>423</v>
      </c>
      <c r="F21">
        <v>880</v>
      </c>
      <c r="I21" t="str">
        <f t="shared" si="0"/>
        <v>(20,0,'Laghouat',33.9520,3.9210,880),</v>
      </c>
    </row>
    <row r="22" spans="1:9" x14ac:dyDescent="0.3">
      <c r="A22">
        <v>21</v>
      </c>
      <c r="B22" t="s">
        <v>425</v>
      </c>
      <c r="C22" t="s">
        <v>543</v>
      </c>
      <c r="D22" s="104" t="s">
        <v>598</v>
      </c>
      <c r="E22" s="104" t="s">
        <v>597</v>
      </c>
      <c r="F22">
        <v>885</v>
      </c>
      <c r="I22" t="str">
        <f t="shared" si="0"/>
        <v>(21,0,'Milok',33.8028,2.875,885),</v>
      </c>
    </row>
    <row r="23" spans="1:9" x14ac:dyDescent="0.3">
      <c r="A23">
        <v>22</v>
      </c>
      <c r="B23" t="s">
        <v>675</v>
      </c>
      <c r="C23" t="s">
        <v>678</v>
      </c>
      <c r="D23" t="s">
        <v>677</v>
      </c>
      <c r="E23" t="s">
        <v>676</v>
      </c>
      <c r="F23">
        <v>715</v>
      </c>
      <c r="I23" t="str">
        <f t="shared" si="0"/>
        <v>(22,0,'Hassi Delaa',33.4174,3.5502,715),</v>
      </c>
    </row>
    <row r="24" spans="1:9" x14ac:dyDescent="0.3">
      <c r="A24">
        <v>23</v>
      </c>
      <c r="B24" t="s">
        <v>613</v>
      </c>
      <c r="C24" t="s">
        <v>650</v>
      </c>
      <c r="D24" t="s">
        <v>612</v>
      </c>
      <c r="E24" t="s">
        <v>611</v>
      </c>
      <c r="F24">
        <v>856</v>
      </c>
      <c r="I24" t="str">
        <f t="shared" si="0"/>
        <v>(23,0,'M'seka A',33.7891,2.5834,856),</v>
      </c>
    </row>
    <row r="25" spans="1:9" x14ac:dyDescent="0.3">
      <c r="A25">
        <v>24</v>
      </c>
      <c r="B25" t="s">
        <v>616</v>
      </c>
      <c r="C25" t="s">
        <v>650</v>
      </c>
      <c r="D25" t="s">
        <v>615</v>
      </c>
      <c r="E25" t="s">
        <v>614</v>
      </c>
      <c r="F25">
        <v>875</v>
      </c>
      <c r="I25" t="str">
        <f t="shared" si="0"/>
        <v>(24,0,'M'seka B',33.8089,2.5903,875),</v>
      </c>
    </row>
    <row r="26" spans="1:9" x14ac:dyDescent="0.3">
      <c r="A26">
        <v>25</v>
      </c>
      <c r="B26" t="s">
        <v>619</v>
      </c>
      <c r="C26" t="s">
        <v>650</v>
      </c>
      <c r="D26" t="s">
        <v>618</v>
      </c>
      <c r="E26" t="s">
        <v>617</v>
      </c>
      <c r="F26">
        <v>835</v>
      </c>
      <c r="I26" t="str">
        <f t="shared" si="0"/>
        <v>(25,0,'M'seka C',33.7689,2.5761,835),</v>
      </c>
    </row>
    <row r="27" spans="1:9" x14ac:dyDescent="0.3">
      <c r="A27">
        <v>26</v>
      </c>
      <c r="B27" t="s">
        <v>604</v>
      </c>
      <c r="C27" t="s">
        <v>649</v>
      </c>
      <c r="D27" t="s">
        <v>603</v>
      </c>
      <c r="E27" t="s">
        <v>602</v>
      </c>
      <c r="F27">
        <v>890</v>
      </c>
      <c r="I27" t="str">
        <f t="shared" si="0"/>
        <v>(26,0,'Timzhert A',33.6245,2.7389,890),</v>
      </c>
    </row>
    <row r="28" spans="1:9" x14ac:dyDescent="0.3">
      <c r="A28">
        <v>27</v>
      </c>
      <c r="B28" t="s">
        <v>607</v>
      </c>
      <c r="C28" t="s">
        <v>649</v>
      </c>
      <c r="D28" t="s">
        <v>606</v>
      </c>
      <c r="E28" t="s">
        <v>605</v>
      </c>
      <c r="F28">
        <v>912</v>
      </c>
      <c r="I28" t="str">
        <f t="shared" si="0"/>
        <v>(27,0,'Timzhert B',33.6412,2.7412,912),</v>
      </c>
    </row>
    <row r="29" spans="1:9" x14ac:dyDescent="0.3">
      <c r="A29">
        <v>28</v>
      </c>
      <c r="B29" t="s">
        <v>610</v>
      </c>
      <c r="C29" t="s">
        <v>649</v>
      </c>
      <c r="D29" t="s">
        <v>609</v>
      </c>
      <c r="E29" t="s">
        <v>608</v>
      </c>
      <c r="F29">
        <v>875</v>
      </c>
      <c r="I29" t="str">
        <f t="shared" si="0"/>
        <v>(28,0,'Timzhert C',33.6078,2.7361,875),</v>
      </c>
    </row>
    <row r="30" spans="1:9" x14ac:dyDescent="0.3">
      <c r="A30">
        <v>29</v>
      </c>
      <c r="B30" t="s">
        <v>802</v>
      </c>
      <c r="C30" t="s">
        <v>422</v>
      </c>
      <c r="D30" s="104" t="s">
        <v>421</v>
      </c>
      <c r="E30" s="104" t="s">
        <v>420</v>
      </c>
      <c r="F30">
        <v>778</v>
      </c>
      <c r="I30" t="str">
        <f t="shared" si="0"/>
        <v>(29,0,'Hassi R'mel Field',32.9350,3.2684,778),</v>
      </c>
    </row>
    <row r="31" spans="1:9" x14ac:dyDescent="0.3">
      <c r="A31">
        <v>30</v>
      </c>
      <c r="B31" t="s">
        <v>803</v>
      </c>
      <c r="C31" t="s">
        <v>422</v>
      </c>
      <c r="D31" s="104" t="s">
        <v>596</v>
      </c>
      <c r="E31" s="104" t="s">
        <v>595</v>
      </c>
      <c r="F31">
        <v>777</v>
      </c>
      <c r="I31" t="str">
        <f t="shared" si="0"/>
        <v>(30,0,'Hassi R'mel CNDG',32.9472,3.1706,777),</v>
      </c>
    </row>
    <row r="32" spans="1:9" x14ac:dyDescent="0.3">
      <c r="A32">
        <v>31</v>
      </c>
      <c r="B32" t="s">
        <v>689</v>
      </c>
      <c r="C32" t="s">
        <v>690</v>
      </c>
      <c r="D32" t="s">
        <v>688</v>
      </c>
      <c r="E32" t="s">
        <v>687</v>
      </c>
      <c r="F32">
        <v>926</v>
      </c>
      <c r="I32" t="str">
        <f t="shared" si="0"/>
        <v>(31,0,'Mechtatine',36.1234,6.7890,926),</v>
      </c>
    </row>
    <row r="33" spans="1:9" x14ac:dyDescent="0.3">
      <c r="A33">
        <v>32</v>
      </c>
      <c r="B33" t="s">
        <v>804</v>
      </c>
      <c r="C33" t="s">
        <v>496</v>
      </c>
      <c r="D33" t="s">
        <v>495</v>
      </c>
      <c r="E33" t="s">
        <v>494</v>
      </c>
      <c r="F33">
        <v>600</v>
      </c>
      <c r="I33" t="str">
        <f t="shared" si="0"/>
        <v>(32,0,'Ksob Dam',35.7186,4.5233,600),</v>
      </c>
    </row>
    <row r="34" spans="1:9" ht="14.5" x14ac:dyDescent="0.35">
      <c r="A34">
        <v>33</v>
      </c>
      <c r="B34" s="105" t="s">
        <v>790</v>
      </c>
      <c r="C34" s="105" t="s">
        <v>389</v>
      </c>
      <c r="D34" s="104" t="s">
        <v>450</v>
      </c>
      <c r="E34" s="104" t="s">
        <v>451</v>
      </c>
      <c r="F34" s="105">
        <v>10</v>
      </c>
      <c r="I34" t="str">
        <f t="shared" si="0"/>
        <v>(33,0,'Mohgoun plateau',35.82992,-0.32427,10),</v>
      </c>
    </row>
    <row r="35" spans="1:9" ht="14.5" x14ac:dyDescent="0.35">
      <c r="A35">
        <v>34</v>
      </c>
      <c r="B35" s="105" t="s">
        <v>389</v>
      </c>
      <c r="C35" s="105" t="s">
        <v>389</v>
      </c>
      <c r="D35" s="104" t="s">
        <v>462</v>
      </c>
      <c r="E35" s="104" t="s">
        <v>463</v>
      </c>
      <c r="F35" s="105">
        <v>5</v>
      </c>
      <c r="I35" t="str">
        <f t="shared" si="0"/>
        <v>(34,0,'Arzew',35.8349,-0.2384,5),</v>
      </c>
    </row>
    <row r="36" spans="1:9" x14ac:dyDescent="0.3">
      <c r="A36">
        <v>35</v>
      </c>
      <c r="B36" t="s">
        <v>429</v>
      </c>
      <c r="C36" t="s">
        <v>429</v>
      </c>
      <c r="D36" s="104" t="s">
        <v>428</v>
      </c>
      <c r="E36" s="104" t="s">
        <v>427</v>
      </c>
      <c r="F36">
        <v>973</v>
      </c>
      <c r="I36" t="str">
        <f t="shared" si="0"/>
        <v>(35,0,'Djebila',35.3720,1.3250,973),</v>
      </c>
    </row>
    <row r="37" spans="1:9" x14ac:dyDescent="0.3">
      <c r="A37">
        <v>36</v>
      </c>
      <c r="B37" t="s">
        <v>629</v>
      </c>
      <c r="C37" t="s">
        <v>651</v>
      </c>
      <c r="D37" t="s">
        <v>628</v>
      </c>
      <c r="E37" t="s">
        <v>627</v>
      </c>
      <c r="F37">
        <v>1018</v>
      </c>
      <c r="I37" t="str">
        <f t="shared" si="0"/>
        <v>(36,0,'Nador A',35.2876,1.4521,1018),</v>
      </c>
    </row>
    <row r="38" spans="1:9" x14ac:dyDescent="0.3">
      <c r="A38">
        <v>37</v>
      </c>
      <c r="B38" t="s">
        <v>632</v>
      </c>
      <c r="C38" t="s">
        <v>651</v>
      </c>
      <c r="D38" t="s">
        <v>631</v>
      </c>
      <c r="E38" t="s">
        <v>630</v>
      </c>
      <c r="F38">
        <v>1045</v>
      </c>
      <c r="I38" t="str">
        <f t="shared" si="0"/>
        <v>(37,0,'Nador B',35.3078,1.4567,1045),</v>
      </c>
    </row>
    <row r="39" spans="1:9" x14ac:dyDescent="0.3">
      <c r="A39">
        <v>38</v>
      </c>
      <c r="B39" t="s">
        <v>635</v>
      </c>
      <c r="C39" t="s">
        <v>651</v>
      </c>
      <c r="D39" t="s">
        <v>634</v>
      </c>
      <c r="E39" t="s">
        <v>633</v>
      </c>
      <c r="F39">
        <v>995</v>
      </c>
      <c r="I39" t="str">
        <f t="shared" si="0"/>
        <v>(38,0,'Nador C',35.2678,1.4475,995),</v>
      </c>
    </row>
    <row r="40" spans="1:9" x14ac:dyDescent="0.3">
      <c r="A40">
        <v>39</v>
      </c>
      <c r="B40" t="s">
        <v>620</v>
      </c>
      <c r="C40" t="s">
        <v>550</v>
      </c>
      <c r="D40" t="s">
        <v>578</v>
      </c>
      <c r="E40" t="s">
        <v>577</v>
      </c>
      <c r="F40">
        <v>971</v>
      </c>
      <c r="I40" t="str">
        <f t="shared" si="0"/>
        <v>(39,0,'Medarreg A',35.1027,1.7056,971),</v>
      </c>
    </row>
    <row r="41" spans="1:9" x14ac:dyDescent="0.3">
      <c r="A41">
        <v>40</v>
      </c>
      <c r="B41" t="s">
        <v>623</v>
      </c>
      <c r="C41" t="s">
        <v>550</v>
      </c>
      <c r="D41" t="s">
        <v>622</v>
      </c>
      <c r="E41" t="s">
        <v>621</v>
      </c>
      <c r="F41">
        <v>995</v>
      </c>
      <c r="I41" t="str">
        <f t="shared" si="0"/>
        <v>(40,0,'Medarreg B',35.1211,1.7089,995),</v>
      </c>
    </row>
    <row r="42" spans="1:9" x14ac:dyDescent="0.3">
      <c r="A42">
        <v>41</v>
      </c>
      <c r="B42" t="s">
        <v>626</v>
      </c>
      <c r="C42" t="s">
        <v>550</v>
      </c>
      <c r="D42" t="s">
        <v>625</v>
      </c>
      <c r="E42" t="s">
        <v>624</v>
      </c>
      <c r="F42">
        <v>950</v>
      </c>
      <c r="I42" t="str">
        <f t="shared" si="0"/>
        <v>(41,0,'Medarreg C',35.0845,1.7020,950),</v>
      </c>
    </row>
    <row r="43" spans="1:9" x14ac:dyDescent="0.3">
      <c r="A43">
        <v>42</v>
      </c>
      <c r="B43" t="s">
        <v>583</v>
      </c>
      <c r="C43" t="s">
        <v>467</v>
      </c>
      <c r="D43" t="s">
        <v>581</v>
      </c>
      <c r="E43" t="s">
        <v>580</v>
      </c>
      <c r="F43">
        <v>1032</v>
      </c>
      <c r="I43" t="str">
        <f t="shared" si="0"/>
        <v>(42,0,'Zaaroura',35.3453,1.3187,1032),</v>
      </c>
    </row>
    <row r="44" spans="1:9" x14ac:dyDescent="0.3">
      <c r="A44">
        <v>43</v>
      </c>
      <c r="B44" t="s">
        <v>552</v>
      </c>
      <c r="C44" t="s">
        <v>552</v>
      </c>
      <c r="D44" s="104" t="s">
        <v>601</v>
      </c>
      <c r="E44" s="104" t="s">
        <v>600</v>
      </c>
      <c r="F44">
        <v>1080</v>
      </c>
      <c r="I44" t="str">
        <f t="shared" si="0"/>
        <v>(43,0,'Sougueur',35.1835,1.4959,1080),</v>
      </c>
    </row>
    <row r="45" spans="1:9" x14ac:dyDescent="0.3">
      <c r="A45">
        <v>44</v>
      </c>
      <c r="B45" t="s">
        <v>550</v>
      </c>
      <c r="C45" t="s">
        <v>550</v>
      </c>
      <c r="D45" s="104" t="s">
        <v>599</v>
      </c>
      <c r="E45" s="104" t="s">
        <v>577</v>
      </c>
      <c r="F45">
        <v>185</v>
      </c>
      <c r="I45" t="str">
        <f t="shared" si="0"/>
        <v>(44,0,'Faïdja',35.1927,1.7056,185),</v>
      </c>
    </row>
    <row r="46" spans="1:9" x14ac:dyDescent="0.3">
      <c r="A46">
        <v>45</v>
      </c>
      <c r="B46" t="s">
        <v>805</v>
      </c>
      <c r="C46" t="s">
        <v>467</v>
      </c>
      <c r="D46" t="s">
        <v>541</v>
      </c>
      <c r="E46" t="s">
        <v>540</v>
      </c>
      <c r="F46">
        <v>983</v>
      </c>
      <c r="I46" t="str">
        <f t="shared" si="0"/>
        <v>(45,0,'Zaaroura Highland',35.4250,1.4250,983),</v>
      </c>
    </row>
    <row r="47" spans="1:9" ht="14.5" x14ac:dyDescent="0.35">
      <c r="A47">
        <v>46</v>
      </c>
      <c r="B47" s="105" t="s">
        <v>367</v>
      </c>
      <c r="C47" s="105" t="s">
        <v>367</v>
      </c>
      <c r="D47" s="104" t="s">
        <v>445</v>
      </c>
      <c r="E47" s="104" t="s">
        <v>446</v>
      </c>
      <c r="F47" s="105">
        <v>5</v>
      </c>
      <c r="I47" t="str">
        <f t="shared" si="0"/>
        <v>(46,0,'Skikda',36.8767,6.9056,5),</v>
      </c>
    </row>
    <row r="48" spans="1:9" ht="14.5" x14ac:dyDescent="0.35">
      <c r="A48">
        <v>47</v>
      </c>
      <c r="B48" s="105" t="s">
        <v>367</v>
      </c>
      <c r="C48" s="105" t="s">
        <v>367</v>
      </c>
      <c r="D48" s="104" t="s">
        <v>400</v>
      </c>
      <c r="E48" s="104" t="s">
        <v>464</v>
      </c>
      <c r="F48" s="105">
        <v>18</v>
      </c>
      <c r="I48" t="str">
        <f t="shared" si="0"/>
        <v>(47,0,'Skikda',36.8854,6.924,18),</v>
      </c>
    </row>
    <row r="49" spans="1:9" ht="14.5" x14ac:dyDescent="0.35">
      <c r="A49">
        <v>48</v>
      </c>
      <c r="B49" s="105" t="s">
        <v>797</v>
      </c>
      <c r="C49" s="105" t="s">
        <v>367</v>
      </c>
      <c r="D49" s="104" t="s">
        <v>454</v>
      </c>
      <c r="E49" s="104" t="s">
        <v>455</v>
      </c>
      <c r="F49" s="105">
        <v>8</v>
      </c>
      <c r="I49" t="str">
        <f t="shared" si="0"/>
        <v>(48,0,'Flifla',36.8654,6.92,8),</v>
      </c>
    </row>
    <row r="50" spans="1:9" x14ac:dyDescent="0.3">
      <c r="A50">
        <v>49</v>
      </c>
      <c r="B50" t="s">
        <v>585</v>
      </c>
      <c r="C50" t="s">
        <v>588</v>
      </c>
      <c r="D50" s="104" t="s">
        <v>442</v>
      </c>
      <c r="E50" s="104" t="s">
        <v>441</v>
      </c>
      <c r="F50">
        <v>80</v>
      </c>
      <c r="I50" t="str">
        <f t="shared" si="0"/>
        <v>(49,0,'Bourmadia',35.7373,0.5560,80),</v>
      </c>
    </row>
    <row r="51" spans="1:9" x14ac:dyDescent="0.3">
      <c r="A51">
        <v>50</v>
      </c>
      <c r="B51" t="s">
        <v>806</v>
      </c>
      <c r="C51" t="s">
        <v>585</v>
      </c>
      <c r="D51" t="s">
        <v>587</v>
      </c>
      <c r="E51" t="s">
        <v>586</v>
      </c>
      <c r="F51">
        <v>81</v>
      </c>
      <c r="I51" t="str">
        <f t="shared" si="0"/>
        <v>(50,0,'Bourmadia station',35.7322,0.6125,81),</v>
      </c>
    </row>
    <row r="52" spans="1:9" x14ac:dyDescent="0.3">
      <c r="A52">
        <v>51</v>
      </c>
      <c r="B52" t="s">
        <v>638</v>
      </c>
      <c r="C52" t="s">
        <v>652</v>
      </c>
      <c r="D52" t="s">
        <v>637</v>
      </c>
      <c r="E52" t="s">
        <v>636</v>
      </c>
      <c r="F52">
        <v>650</v>
      </c>
      <c r="I52" t="str">
        <f t="shared" si="0"/>
        <v>(51,0,'Kenenda A',35.6546,0.8211,650),</v>
      </c>
    </row>
    <row r="53" spans="1:9" x14ac:dyDescent="0.3">
      <c r="A53">
        <v>52</v>
      </c>
      <c r="B53" t="s">
        <v>641</v>
      </c>
      <c r="C53" t="s">
        <v>652</v>
      </c>
      <c r="D53" t="s">
        <v>640</v>
      </c>
      <c r="E53" t="s">
        <v>639</v>
      </c>
      <c r="F53">
        <v>680</v>
      </c>
      <c r="I53" t="str">
        <f t="shared" si="0"/>
        <v>(52,0,'Kenenda B',35.6698,0.8267,680),</v>
      </c>
    </row>
    <row r="54" spans="1:9" x14ac:dyDescent="0.3">
      <c r="A54">
        <v>53</v>
      </c>
      <c r="B54" t="s">
        <v>644</v>
      </c>
      <c r="C54" t="s">
        <v>652</v>
      </c>
      <c r="D54" t="s">
        <v>643</v>
      </c>
      <c r="E54" t="s">
        <v>642</v>
      </c>
      <c r="F54">
        <v>620</v>
      </c>
      <c r="I54" t="str">
        <f t="shared" si="0"/>
        <v>(53,0,'Kenenda C',35.6388,0.8152,620),</v>
      </c>
    </row>
    <row r="55" spans="1:9" x14ac:dyDescent="0.3">
      <c r="A55">
        <v>54</v>
      </c>
      <c r="B55" t="s">
        <v>681</v>
      </c>
      <c r="C55" t="s">
        <v>681</v>
      </c>
      <c r="D55" t="s">
        <v>680</v>
      </c>
      <c r="E55" t="s">
        <v>679</v>
      </c>
      <c r="F55">
        <v>397</v>
      </c>
      <c r="I55" t="str">
        <f t="shared" si="0"/>
        <v>(54,0,'Ouled Djellal',34.4167,5.0667,397),</v>
      </c>
    </row>
    <row r="56" spans="1:9" x14ac:dyDescent="0.3">
      <c r="A56">
        <v>55</v>
      </c>
      <c r="B56" t="s">
        <v>683</v>
      </c>
      <c r="C56" t="s">
        <v>681</v>
      </c>
      <c r="D56" t="s">
        <v>670</v>
      </c>
      <c r="E56" t="s">
        <v>682</v>
      </c>
      <c r="F56">
        <v>389</v>
      </c>
      <c r="I56" t="str">
        <f t="shared" si="0"/>
        <v>(55,0,'Chaiba',34.5000,5.2500,389),</v>
      </c>
    </row>
    <row r="57" spans="1:9" x14ac:dyDescent="0.3">
      <c r="A57">
        <v>56</v>
      </c>
      <c r="B57" t="s">
        <v>523</v>
      </c>
      <c r="C57" t="s">
        <v>523</v>
      </c>
      <c r="D57" t="s">
        <v>522</v>
      </c>
      <c r="E57" t="s">
        <v>521</v>
      </c>
      <c r="F57">
        <v>246</v>
      </c>
      <c r="I57" t="str">
        <f t="shared" si="0"/>
        <v>(56,0,'El Borma',31.006256,8.133856,246),</v>
      </c>
    </row>
    <row r="58" spans="1:9" x14ac:dyDescent="0.3">
      <c r="A58">
        <v>57</v>
      </c>
      <c r="B58" t="s">
        <v>520</v>
      </c>
      <c r="C58" t="s">
        <v>380</v>
      </c>
      <c r="D58" t="s">
        <v>519</v>
      </c>
      <c r="E58" t="s">
        <v>518</v>
      </c>
      <c r="F58">
        <v>267</v>
      </c>
      <c r="I58" t="str">
        <f t="shared" si="0"/>
        <v>(57,0,'Gassi Touil',30.271400,6.415500,267),</v>
      </c>
    </row>
    <row r="59" spans="1:9" x14ac:dyDescent="0.3">
      <c r="A59">
        <v>58</v>
      </c>
      <c r="B59" t="s">
        <v>536</v>
      </c>
      <c r="C59" t="s">
        <v>536</v>
      </c>
      <c r="D59" t="s">
        <v>535</v>
      </c>
      <c r="E59" t="s">
        <v>534</v>
      </c>
      <c r="F59">
        <v>182</v>
      </c>
      <c r="I59" t="str">
        <f t="shared" si="0"/>
        <v>(58,0,'Nezla',33.08333,6.05139,182),</v>
      </c>
    </row>
    <row r="60" spans="1:9" x14ac:dyDescent="0.3">
      <c r="A60">
        <v>59</v>
      </c>
      <c r="B60" t="s">
        <v>381</v>
      </c>
      <c r="C60" t="s">
        <v>381</v>
      </c>
      <c r="D60" s="104" t="s">
        <v>416</v>
      </c>
      <c r="E60" s="104" t="s">
        <v>415</v>
      </c>
      <c r="F60">
        <v>245</v>
      </c>
      <c r="I60" t="str">
        <f t="shared" si="0"/>
        <v>(59,0,'Ouargla',31.9510,5.3310,245),</v>
      </c>
    </row>
    <row r="61" spans="1:9" x14ac:dyDescent="0.3">
      <c r="A61">
        <v>60</v>
      </c>
      <c r="B61" t="s">
        <v>381</v>
      </c>
      <c r="C61" t="s">
        <v>381</v>
      </c>
      <c r="D61" t="s">
        <v>567</v>
      </c>
      <c r="E61" t="s">
        <v>566</v>
      </c>
      <c r="F61">
        <v>260</v>
      </c>
      <c r="I61" t="str">
        <f t="shared" si="0"/>
        <v>(60,0,'Ouargla',31.9326,5.3268,260),</v>
      </c>
    </row>
    <row r="62" spans="1:9" x14ac:dyDescent="0.3">
      <c r="A62">
        <v>61</v>
      </c>
      <c r="B62" t="s">
        <v>532</v>
      </c>
      <c r="C62" t="s">
        <v>380</v>
      </c>
      <c r="D62" t="s">
        <v>531</v>
      </c>
      <c r="E62" t="s">
        <v>530</v>
      </c>
      <c r="F62">
        <v>185</v>
      </c>
      <c r="I62" t="str">
        <f t="shared" si="0"/>
        <v>(61,0,'Hassi Berkine',30.55880,5.45310,185),</v>
      </c>
    </row>
    <row r="63" spans="1:9" x14ac:dyDescent="0.3">
      <c r="A63">
        <v>62</v>
      </c>
      <c r="B63" t="s">
        <v>414</v>
      </c>
      <c r="C63" t="s">
        <v>380</v>
      </c>
      <c r="D63" s="104" t="s">
        <v>413</v>
      </c>
      <c r="E63" s="104" t="s">
        <v>412</v>
      </c>
      <c r="F63">
        <v>156</v>
      </c>
      <c r="I63" t="str">
        <f t="shared" si="0"/>
        <v>(62,0,'Haoud El Hamra',31.9410,6.0710,156),</v>
      </c>
    </row>
    <row r="64" spans="1:9" x14ac:dyDescent="0.3">
      <c r="A64">
        <v>63</v>
      </c>
      <c r="B64" t="s">
        <v>414</v>
      </c>
      <c r="C64" t="s">
        <v>380</v>
      </c>
      <c r="D64" t="s">
        <v>565</v>
      </c>
      <c r="E64" t="s">
        <v>564</v>
      </c>
      <c r="F64">
        <v>151</v>
      </c>
      <c r="I64" t="str">
        <f t="shared" si="0"/>
        <v>(63,0,'Haoud El Hamra',31.8894,5.9731,151),</v>
      </c>
    </row>
    <row r="65" spans="1:9" x14ac:dyDescent="0.3">
      <c r="A65">
        <v>64</v>
      </c>
      <c r="B65" t="s">
        <v>723</v>
      </c>
      <c r="C65" t="s">
        <v>380</v>
      </c>
      <c r="D65" t="s">
        <v>722</v>
      </c>
      <c r="E65" t="s">
        <v>721</v>
      </c>
      <c r="F65">
        <v>166</v>
      </c>
      <c r="I65" t="str">
        <f t="shared" si="0"/>
        <v>(64,0,'Zina/Hassi Messaoud',31.7876,6.0518,166),</v>
      </c>
    </row>
    <row r="66" spans="1:9" ht="14.5" x14ac:dyDescent="0.35">
      <c r="A66">
        <v>65</v>
      </c>
      <c r="B66" s="105" t="s">
        <v>380</v>
      </c>
      <c r="C66" s="105" t="s">
        <v>381</v>
      </c>
      <c r="D66" s="104" t="s">
        <v>452</v>
      </c>
      <c r="E66" s="104" t="s">
        <v>453</v>
      </c>
      <c r="F66" s="105">
        <v>160</v>
      </c>
      <c r="I66" t="str">
        <f t="shared" si="0"/>
        <v>(65,0,'Hassi Messaoud',31.6295,6.19,160),</v>
      </c>
    </row>
  </sheetData>
  <autoFilter ref="A1:F66" xr:uid="{4D8C1840-4676-4115-AC3B-422320CE3158}">
    <sortState xmlns:xlrd2="http://schemas.microsoft.com/office/spreadsheetml/2017/richdata2" ref="A2:F66">
      <sortCondition ref="A1:A66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4988A-CA07-469F-8FAE-D740EBF1C5E6}">
  <dimension ref="A1:G4"/>
  <sheetViews>
    <sheetView workbookViewId="0">
      <selection activeCell="D14" sqref="D14"/>
    </sheetView>
  </sheetViews>
  <sheetFormatPr baseColWidth="10" defaultRowHeight="14" x14ac:dyDescent="0.3"/>
  <sheetData>
    <row r="1" spans="1:7" x14ac:dyDescent="0.3">
      <c r="A1" t="s">
        <v>801</v>
      </c>
      <c r="B1" t="s">
        <v>256</v>
      </c>
      <c r="C1" t="s">
        <v>220</v>
      </c>
      <c r="D1" t="s">
        <v>411</v>
      </c>
      <c r="E1" t="s">
        <v>410</v>
      </c>
      <c r="F1" t="s">
        <v>799</v>
      </c>
      <c r="G1" t="s">
        <v>219</v>
      </c>
    </row>
    <row r="2" spans="1:7" ht="14.5" x14ac:dyDescent="0.35">
      <c r="A2">
        <v>1</v>
      </c>
      <c r="B2" s="105" t="s">
        <v>792</v>
      </c>
      <c r="C2" s="105" t="s">
        <v>389</v>
      </c>
      <c r="D2" s="104" t="s">
        <v>443</v>
      </c>
      <c r="E2" s="104" t="s">
        <v>444</v>
      </c>
      <c r="F2" s="105">
        <v>2</v>
      </c>
      <c r="G2" s="105" t="s">
        <v>363</v>
      </c>
    </row>
    <row r="3" spans="1:7" ht="14.5" x14ac:dyDescent="0.35">
      <c r="A3">
        <v>2</v>
      </c>
      <c r="B3" s="105" t="s">
        <v>796</v>
      </c>
      <c r="C3" s="105" t="s">
        <v>389</v>
      </c>
      <c r="D3" s="104" t="s">
        <v>447</v>
      </c>
      <c r="E3" s="104" t="s">
        <v>430</v>
      </c>
      <c r="F3" s="105">
        <v>2</v>
      </c>
      <c r="G3" s="105" t="s">
        <v>363</v>
      </c>
    </row>
    <row r="4" spans="1:7" ht="14.5" x14ac:dyDescent="0.35">
      <c r="A4">
        <v>3</v>
      </c>
      <c r="B4" s="105" t="s">
        <v>793</v>
      </c>
      <c r="C4" s="105" t="s">
        <v>792</v>
      </c>
      <c r="D4" s="104" t="s">
        <v>460</v>
      </c>
      <c r="E4" s="104" t="s">
        <v>461</v>
      </c>
      <c r="F4" s="105">
        <v>2</v>
      </c>
      <c r="G4" s="105" t="s">
        <v>363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3601-4085-41FD-A6DF-22327ECCBBD1}">
  <dimension ref="A1:U74"/>
  <sheetViews>
    <sheetView topLeftCell="A40" workbookViewId="0">
      <selection activeCell="B52" sqref="B52"/>
    </sheetView>
  </sheetViews>
  <sheetFormatPr baseColWidth="10" defaultRowHeight="14" x14ac:dyDescent="0.3"/>
  <cols>
    <col min="1" max="1" width="5.69921875" customWidth="1"/>
    <col min="2" max="2" width="75.69921875" customWidth="1"/>
    <col min="3" max="23" width="5.69921875" customWidth="1"/>
  </cols>
  <sheetData>
    <row r="1" spans="1:21" ht="30" customHeight="1" x14ac:dyDescent="0.3">
      <c r="A1" s="107" t="s">
        <v>0</v>
      </c>
      <c r="B1" s="107" t="s">
        <v>770</v>
      </c>
      <c r="C1" s="107" t="s">
        <v>304</v>
      </c>
      <c r="D1" s="107" t="s">
        <v>745</v>
      </c>
      <c r="E1" s="107" t="s">
        <v>744</v>
      </c>
      <c r="F1" s="107" t="s">
        <v>340</v>
      </c>
      <c r="G1" s="107" t="s">
        <v>768</v>
      </c>
      <c r="H1" s="107" t="s">
        <v>750</v>
      </c>
      <c r="I1" s="107" t="s">
        <v>325</v>
      </c>
      <c r="J1" s="107" t="s">
        <v>761</v>
      </c>
      <c r="K1" s="107" t="s">
        <v>324</v>
      </c>
      <c r="L1" s="107" t="s">
        <v>328</v>
      </c>
      <c r="M1" s="107" t="s">
        <v>323</v>
      </c>
      <c r="N1" s="106"/>
      <c r="O1" s="106"/>
      <c r="P1" s="106"/>
      <c r="Q1" s="106"/>
      <c r="R1" s="106"/>
      <c r="S1" s="106"/>
      <c r="T1" s="106"/>
      <c r="U1" s="106"/>
    </row>
    <row r="2" spans="1:21" ht="25" customHeight="1" x14ac:dyDescent="0.3">
      <c r="A2" s="77">
        <v>69</v>
      </c>
      <c r="B2" s="108" t="s">
        <v>765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 t="s">
        <v>749</v>
      </c>
    </row>
    <row r="3" spans="1:21" ht="25" customHeight="1" x14ac:dyDescent="0.3">
      <c r="A3" s="77">
        <v>7</v>
      </c>
      <c r="B3" s="109" t="s">
        <v>735</v>
      </c>
      <c r="C3" s="111"/>
      <c r="D3" s="111" t="s">
        <v>749</v>
      </c>
      <c r="E3" s="111"/>
      <c r="F3" s="111" t="s">
        <v>749</v>
      </c>
      <c r="G3" s="111"/>
      <c r="H3" s="110" t="s">
        <v>749</v>
      </c>
      <c r="I3" s="110"/>
      <c r="J3" s="110"/>
      <c r="K3" s="110"/>
      <c r="L3" s="110"/>
      <c r="M3" s="110"/>
    </row>
    <row r="4" spans="1:21" ht="25" customHeight="1" x14ac:dyDescent="0.3">
      <c r="A4" s="77">
        <v>34</v>
      </c>
      <c r="B4" s="108" t="s">
        <v>771</v>
      </c>
      <c r="C4" s="110"/>
      <c r="D4" s="110"/>
      <c r="E4" s="110"/>
      <c r="F4" s="110" t="s">
        <v>749</v>
      </c>
      <c r="G4" s="110"/>
      <c r="H4" s="110"/>
      <c r="I4" s="110"/>
      <c r="J4" s="110"/>
      <c r="K4" s="110"/>
      <c r="L4" s="110"/>
      <c r="M4" s="110"/>
    </row>
    <row r="5" spans="1:21" ht="25" customHeight="1" x14ac:dyDescent="0.3">
      <c r="A5" s="77">
        <v>54</v>
      </c>
      <c r="B5" s="108" t="s">
        <v>753</v>
      </c>
      <c r="C5" s="110"/>
      <c r="D5" s="110"/>
      <c r="E5" s="110"/>
      <c r="F5" s="110"/>
      <c r="G5" s="110"/>
      <c r="H5" s="110"/>
      <c r="I5" s="110" t="s">
        <v>749</v>
      </c>
      <c r="J5" s="110"/>
      <c r="K5" s="110"/>
      <c r="L5" s="110"/>
      <c r="M5" s="110"/>
    </row>
    <row r="6" spans="1:21" ht="25" customHeight="1" x14ac:dyDescent="0.3">
      <c r="A6" s="77">
        <v>61</v>
      </c>
      <c r="B6" s="108" t="s">
        <v>757</v>
      </c>
      <c r="C6" s="110"/>
      <c r="D6" s="110"/>
      <c r="E6" s="110"/>
      <c r="F6" s="110"/>
      <c r="G6" s="110"/>
      <c r="H6" s="110"/>
      <c r="I6" s="110"/>
      <c r="J6" s="110" t="s">
        <v>749</v>
      </c>
      <c r="K6" s="110"/>
      <c r="L6" s="110"/>
      <c r="M6" s="110"/>
    </row>
    <row r="7" spans="1:21" ht="25" customHeight="1" x14ac:dyDescent="0.3">
      <c r="A7" s="77">
        <v>33</v>
      </c>
      <c r="B7" s="108" t="s">
        <v>772</v>
      </c>
      <c r="C7" s="110"/>
      <c r="D7" s="110"/>
      <c r="E7" s="110"/>
      <c r="F7" s="110" t="s">
        <v>749</v>
      </c>
      <c r="G7" s="110"/>
      <c r="H7" s="110"/>
      <c r="I7" s="110"/>
      <c r="J7" s="110"/>
      <c r="K7" s="110" t="s">
        <v>749</v>
      </c>
      <c r="L7" s="110"/>
      <c r="M7" s="110"/>
    </row>
    <row r="8" spans="1:21" ht="25" customHeight="1" x14ac:dyDescent="0.3">
      <c r="A8" s="77">
        <v>25</v>
      </c>
      <c r="B8" s="108" t="s">
        <v>764</v>
      </c>
      <c r="C8" s="110"/>
      <c r="D8" s="110"/>
      <c r="E8" s="110"/>
      <c r="F8" s="110" t="s">
        <v>749</v>
      </c>
      <c r="G8" s="110"/>
      <c r="H8" s="110"/>
      <c r="I8" s="110"/>
      <c r="J8" s="110"/>
      <c r="K8" s="110"/>
      <c r="L8" s="110"/>
      <c r="M8" s="110"/>
    </row>
    <row r="9" spans="1:21" ht="25" customHeight="1" x14ac:dyDescent="0.3">
      <c r="A9" s="77">
        <v>56</v>
      </c>
      <c r="B9" s="108" t="s">
        <v>769</v>
      </c>
      <c r="C9" s="110"/>
      <c r="D9" s="110"/>
      <c r="E9" s="110"/>
      <c r="F9" s="110"/>
      <c r="G9" s="110"/>
      <c r="H9" s="110"/>
      <c r="I9" s="110" t="s">
        <v>749</v>
      </c>
      <c r="J9" s="110"/>
      <c r="K9" s="110"/>
      <c r="L9" s="110"/>
      <c r="M9" s="110"/>
    </row>
    <row r="10" spans="1:21" ht="25" customHeight="1" x14ac:dyDescent="0.3">
      <c r="A10" s="77">
        <v>19</v>
      </c>
      <c r="B10" s="108" t="s">
        <v>741</v>
      </c>
      <c r="C10" s="110"/>
      <c r="D10" s="110" t="s">
        <v>749</v>
      </c>
      <c r="E10" s="110" t="s">
        <v>749</v>
      </c>
      <c r="F10" s="110"/>
      <c r="G10" s="110"/>
      <c r="H10" s="110"/>
      <c r="I10" s="110"/>
      <c r="J10" s="110"/>
      <c r="K10" s="110"/>
      <c r="L10" s="110"/>
      <c r="M10" s="110"/>
    </row>
    <row r="11" spans="1:21" ht="25" customHeight="1" x14ac:dyDescent="0.3">
      <c r="A11" s="77">
        <v>15</v>
      </c>
      <c r="B11" s="108" t="s">
        <v>738</v>
      </c>
      <c r="C11" s="110"/>
      <c r="D11" s="112" t="s">
        <v>749</v>
      </c>
      <c r="E11" s="110" t="s">
        <v>749</v>
      </c>
      <c r="F11" s="110"/>
      <c r="G11" s="110"/>
      <c r="H11" s="110"/>
      <c r="I11" s="110"/>
      <c r="J11" s="110"/>
      <c r="K11" s="110"/>
      <c r="L11" s="110"/>
      <c r="M11" s="110"/>
    </row>
    <row r="12" spans="1:21" ht="25" customHeight="1" x14ac:dyDescent="0.3">
      <c r="A12" s="77">
        <v>49</v>
      </c>
      <c r="B12" s="108" t="s">
        <v>738</v>
      </c>
      <c r="C12" s="110"/>
      <c r="D12" s="110"/>
      <c r="E12" s="110"/>
      <c r="F12" s="110"/>
      <c r="G12" s="110"/>
      <c r="H12" s="110" t="s">
        <v>749</v>
      </c>
      <c r="I12" s="110"/>
      <c r="J12" s="110"/>
      <c r="K12" s="110"/>
      <c r="L12" s="110"/>
      <c r="M12" s="110"/>
    </row>
    <row r="13" spans="1:21" ht="25" customHeight="1" x14ac:dyDescent="0.3">
      <c r="A13" s="77">
        <v>75</v>
      </c>
      <c r="B13" s="108" t="s">
        <v>520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 t="s">
        <v>749</v>
      </c>
    </row>
    <row r="14" spans="1:21" ht="25" customHeight="1" x14ac:dyDescent="0.3">
      <c r="A14" s="77">
        <v>74</v>
      </c>
      <c r="B14" s="108" t="s">
        <v>776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 t="s">
        <v>749</v>
      </c>
    </row>
    <row r="15" spans="1:21" ht="25" customHeight="1" x14ac:dyDescent="0.3">
      <c r="A15" s="77">
        <v>73</v>
      </c>
      <c r="B15" s="109" t="s">
        <v>778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 t="s">
        <v>749</v>
      </c>
    </row>
    <row r="16" spans="1:21" ht="25" customHeight="1" x14ac:dyDescent="0.3">
      <c r="A16" s="77">
        <v>24</v>
      </c>
      <c r="B16" s="108" t="s">
        <v>516</v>
      </c>
      <c r="C16" s="110"/>
      <c r="D16" s="110"/>
      <c r="E16" s="110"/>
      <c r="F16" s="110" t="s">
        <v>749</v>
      </c>
      <c r="G16" s="110"/>
      <c r="H16" s="110"/>
      <c r="I16" s="110"/>
      <c r="J16" s="110"/>
      <c r="K16" s="110"/>
      <c r="L16" s="110"/>
      <c r="M16" s="110"/>
    </row>
    <row r="17" spans="1:13" ht="25" customHeight="1" x14ac:dyDescent="0.3">
      <c r="A17" s="77">
        <v>9</v>
      </c>
      <c r="B17" s="108" t="s">
        <v>516</v>
      </c>
      <c r="C17" s="113"/>
      <c r="D17" s="111" t="s">
        <v>749</v>
      </c>
      <c r="E17" s="111"/>
      <c r="F17" s="111"/>
      <c r="G17" s="111"/>
      <c r="H17" s="110"/>
      <c r="I17" s="110"/>
      <c r="J17" s="110"/>
      <c r="K17" s="110"/>
      <c r="L17" s="110"/>
      <c r="M17" s="110"/>
    </row>
    <row r="18" spans="1:13" ht="25" customHeight="1" x14ac:dyDescent="0.3">
      <c r="A18" s="77">
        <v>42</v>
      </c>
      <c r="B18" s="108" t="s">
        <v>516</v>
      </c>
      <c r="C18" s="110"/>
      <c r="D18" s="110"/>
      <c r="E18" s="110"/>
      <c r="F18" s="110"/>
      <c r="G18" s="110"/>
      <c r="H18" s="110" t="s">
        <v>749</v>
      </c>
      <c r="I18" s="110"/>
      <c r="J18" s="110"/>
      <c r="K18" s="110"/>
      <c r="L18" s="110"/>
      <c r="M18" s="110"/>
    </row>
    <row r="19" spans="1:13" ht="25" customHeight="1" x14ac:dyDescent="0.3">
      <c r="A19" s="77">
        <v>11</v>
      </c>
      <c r="B19" s="109" t="s">
        <v>778</v>
      </c>
      <c r="C19" s="111"/>
      <c r="D19" s="111" t="s">
        <v>749</v>
      </c>
      <c r="E19" s="111"/>
      <c r="F19" s="111"/>
      <c r="G19" s="111"/>
      <c r="H19" s="110"/>
      <c r="I19" s="110"/>
      <c r="J19" s="110"/>
      <c r="K19" s="110"/>
      <c r="L19" s="110"/>
      <c r="M19" s="110"/>
    </row>
    <row r="20" spans="1:13" ht="25" customHeight="1" x14ac:dyDescent="0.3">
      <c r="A20" s="77">
        <v>45</v>
      </c>
      <c r="B20" s="109" t="s">
        <v>778</v>
      </c>
      <c r="C20" s="110"/>
      <c r="D20" s="110"/>
      <c r="E20" s="110"/>
      <c r="F20" s="110"/>
      <c r="G20" s="110"/>
      <c r="H20" s="110" t="s">
        <v>749</v>
      </c>
      <c r="I20" s="110"/>
      <c r="J20" s="110"/>
      <c r="K20" s="110"/>
      <c r="L20" s="110"/>
      <c r="M20" s="110"/>
    </row>
    <row r="21" spans="1:13" ht="25" customHeight="1" x14ac:dyDescent="0.3">
      <c r="A21" s="77">
        <v>72</v>
      </c>
      <c r="B21" s="108" t="s">
        <v>516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 t="s">
        <v>749</v>
      </c>
    </row>
    <row r="22" spans="1:13" ht="25" customHeight="1" x14ac:dyDescent="0.3">
      <c r="A22" s="77">
        <v>70</v>
      </c>
      <c r="B22" s="108" t="s">
        <v>779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 t="s">
        <v>749</v>
      </c>
    </row>
    <row r="23" spans="1:13" ht="25" customHeight="1" x14ac:dyDescent="0.3">
      <c r="A23" s="77">
        <v>67</v>
      </c>
      <c r="B23" s="108" t="s">
        <v>763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 t="s">
        <v>749</v>
      </c>
    </row>
    <row r="24" spans="1:13" ht="25" customHeight="1" x14ac:dyDescent="0.3">
      <c r="A24" s="77">
        <v>60</v>
      </c>
      <c r="B24" s="108" t="s">
        <v>756</v>
      </c>
      <c r="C24" s="110"/>
      <c r="D24" s="110"/>
      <c r="E24" s="110"/>
      <c r="F24" s="110"/>
      <c r="G24" s="110"/>
      <c r="H24" s="110"/>
      <c r="I24" s="110"/>
      <c r="J24" s="110" t="s">
        <v>749</v>
      </c>
      <c r="K24" s="110"/>
      <c r="L24" s="110"/>
      <c r="M24" s="110"/>
    </row>
    <row r="25" spans="1:13" ht="25" customHeight="1" x14ac:dyDescent="0.3">
      <c r="A25" s="77">
        <v>31</v>
      </c>
      <c r="B25" s="108" t="s">
        <v>748</v>
      </c>
      <c r="C25" s="110"/>
      <c r="D25" s="110"/>
      <c r="E25" s="110"/>
      <c r="F25" s="110" t="s">
        <v>749</v>
      </c>
      <c r="G25" s="110"/>
      <c r="H25" s="110"/>
      <c r="I25" s="110"/>
      <c r="J25" s="110"/>
      <c r="K25" s="110"/>
      <c r="L25" s="110"/>
      <c r="M25" s="110"/>
    </row>
    <row r="26" spans="1:13" ht="25" customHeight="1" x14ac:dyDescent="0.3">
      <c r="A26" s="77">
        <v>50</v>
      </c>
      <c r="B26" s="108" t="s">
        <v>748</v>
      </c>
      <c r="C26" s="110"/>
      <c r="D26" s="110"/>
      <c r="E26" s="110"/>
      <c r="F26" s="110"/>
      <c r="G26" s="110"/>
      <c r="H26" s="110" t="s">
        <v>749</v>
      </c>
      <c r="I26" s="110"/>
      <c r="J26" s="110"/>
      <c r="K26" s="110"/>
      <c r="L26" s="110"/>
      <c r="M26" s="110"/>
    </row>
    <row r="27" spans="1:13" ht="25" customHeight="1" x14ac:dyDescent="0.3">
      <c r="A27" s="77">
        <v>57</v>
      </c>
      <c r="B27" s="108" t="s">
        <v>748</v>
      </c>
      <c r="C27" s="110"/>
      <c r="D27" s="110"/>
      <c r="E27" s="110"/>
      <c r="F27" s="110"/>
      <c r="G27" s="110"/>
      <c r="H27" s="110"/>
      <c r="I27" s="110" t="s">
        <v>749</v>
      </c>
      <c r="J27" s="110"/>
      <c r="K27" s="110"/>
      <c r="L27" s="110"/>
      <c r="M27" s="110"/>
    </row>
    <row r="28" spans="1:13" ht="25" customHeight="1" x14ac:dyDescent="0.3">
      <c r="A28" s="77">
        <v>32</v>
      </c>
      <c r="B28" s="108" t="s">
        <v>520</v>
      </c>
      <c r="C28" s="110"/>
      <c r="D28" s="110"/>
      <c r="E28" s="110"/>
      <c r="F28" s="110" t="s">
        <v>749</v>
      </c>
      <c r="G28" s="110"/>
      <c r="H28" s="110"/>
      <c r="I28" s="110"/>
      <c r="J28" s="110"/>
      <c r="K28" s="110"/>
      <c r="L28" s="110"/>
      <c r="M28" s="110"/>
    </row>
    <row r="29" spans="1:13" ht="25" customHeight="1" x14ac:dyDescent="0.3">
      <c r="A29" s="77">
        <v>16</v>
      </c>
      <c r="B29" s="108" t="s">
        <v>520</v>
      </c>
      <c r="C29" s="110"/>
      <c r="D29" s="110" t="s">
        <v>749</v>
      </c>
      <c r="E29" s="110" t="s">
        <v>749</v>
      </c>
      <c r="F29" s="110"/>
      <c r="G29" s="110"/>
      <c r="H29" s="110"/>
      <c r="I29" s="110"/>
      <c r="J29" s="110"/>
      <c r="K29" s="110"/>
      <c r="L29" s="110"/>
      <c r="M29" s="110"/>
    </row>
    <row r="30" spans="1:13" ht="25" customHeight="1" x14ac:dyDescent="0.3">
      <c r="A30" s="77">
        <v>51</v>
      </c>
      <c r="B30" s="108" t="s">
        <v>520</v>
      </c>
      <c r="C30" s="110"/>
      <c r="D30" s="110"/>
      <c r="E30" s="110"/>
      <c r="F30" s="110"/>
      <c r="G30" s="110"/>
      <c r="H30" s="110" t="s">
        <v>749</v>
      </c>
      <c r="I30" s="110"/>
      <c r="J30" s="110"/>
      <c r="K30" s="110"/>
      <c r="L30" s="110"/>
      <c r="M30" s="110"/>
    </row>
    <row r="31" spans="1:13" ht="25" customHeight="1" x14ac:dyDescent="0.3">
      <c r="A31" s="77">
        <v>27</v>
      </c>
      <c r="B31" s="108" t="s">
        <v>773</v>
      </c>
      <c r="C31" s="110"/>
      <c r="D31" s="110"/>
      <c r="E31" s="110"/>
      <c r="F31" s="110" t="s">
        <v>749</v>
      </c>
      <c r="G31" s="110"/>
      <c r="H31" s="110"/>
      <c r="I31" s="110"/>
      <c r="J31" s="110"/>
      <c r="K31" s="110"/>
      <c r="L31" s="110"/>
      <c r="M31" s="110"/>
    </row>
    <row r="32" spans="1:13" ht="25" customHeight="1" x14ac:dyDescent="0.3">
      <c r="A32" s="77">
        <v>26</v>
      </c>
      <c r="B32" s="108" t="s">
        <v>778</v>
      </c>
      <c r="C32" s="110"/>
      <c r="D32" s="110"/>
      <c r="E32" s="110"/>
      <c r="F32" s="110" t="s">
        <v>749</v>
      </c>
      <c r="G32" s="110"/>
      <c r="H32" s="110"/>
      <c r="I32" s="110"/>
      <c r="J32" s="110"/>
      <c r="K32" s="110"/>
      <c r="L32" s="110"/>
      <c r="M32" s="110"/>
    </row>
    <row r="33" spans="1:13" ht="25" customHeight="1" x14ac:dyDescent="0.3">
      <c r="A33" s="77">
        <v>10</v>
      </c>
      <c r="B33" s="108" t="s">
        <v>778</v>
      </c>
      <c r="C33" s="111"/>
      <c r="D33" s="111" t="s">
        <v>749</v>
      </c>
      <c r="E33" s="111"/>
      <c r="F33" s="111"/>
      <c r="G33" s="111"/>
      <c r="H33" s="110"/>
      <c r="I33" s="110"/>
      <c r="J33" s="110"/>
      <c r="K33" s="110"/>
      <c r="L33" s="110"/>
      <c r="M33" s="110"/>
    </row>
    <row r="34" spans="1:13" ht="25" customHeight="1" x14ac:dyDescent="0.3">
      <c r="A34" s="77">
        <v>38</v>
      </c>
      <c r="B34" s="108" t="s">
        <v>742</v>
      </c>
      <c r="C34" s="110"/>
      <c r="D34" s="110"/>
      <c r="E34" s="110"/>
      <c r="F34" s="110" t="s">
        <v>749</v>
      </c>
      <c r="G34" s="110"/>
      <c r="H34" s="110"/>
      <c r="I34" s="110"/>
      <c r="J34" s="110"/>
      <c r="K34" s="110"/>
      <c r="L34" s="110"/>
      <c r="M34" s="110"/>
    </row>
    <row r="35" spans="1:13" ht="25" customHeight="1" x14ac:dyDescent="0.3">
      <c r="A35" s="77">
        <v>20</v>
      </c>
      <c r="B35" s="108" t="s">
        <v>742</v>
      </c>
      <c r="C35" s="110"/>
      <c r="D35" s="110" t="s">
        <v>749</v>
      </c>
      <c r="E35" s="110"/>
      <c r="F35" s="110"/>
      <c r="G35" s="110"/>
      <c r="H35" s="110"/>
      <c r="I35" s="110"/>
      <c r="J35" s="110"/>
      <c r="K35" s="110"/>
      <c r="L35" s="110"/>
      <c r="M35" s="110"/>
    </row>
    <row r="36" spans="1:13" ht="25" customHeight="1" x14ac:dyDescent="0.3">
      <c r="A36" s="77">
        <v>28</v>
      </c>
      <c r="B36" s="108" t="s">
        <v>737</v>
      </c>
      <c r="C36" s="110"/>
      <c r="D36" s="110"/>
      <c r="E36" s="110"/>
      <c r="F36" s="110" t="s">
        <v>749</v>
      </c>
      <c r="G36" s="110"/>
      <c r="H36" s="110"/>
      <c r="I36" s="110"/>
      <c r="J36" s="110"/>
      <c r="K36" s="110"/>
      <c r="L36" s="110"/>
      <c r="M36" s="110"/>
    </row>
    <row r="37" spans="1:13" ht="25" customHeight="1" x14ac:dyDescent="0.3">
      <c r="A37" s="77">
        <v>13</v>
      </c>
      <c r="B37" s="108" t="s">
        <v>737</v>
      </c>
      <c r="C37" s="113"/>
      <c r="D37" s="111" t="s">
        <v>749</v>
      </c>
      <c r="E37" s="111"/>
      <c r="F37" s="111"/>
      <c r="G37" s="111"/>
      <c r="H37" s="110"/>
      <c r="I37" s="110"/>
      <c r="J37" s="110"/>
      <c r="K37" s="110"/>
      <c r="L37" s="110"/>
      <c r="M37" s="110"/>
    </row>
    <row r="38" spans="1:13" ht="25" customHeight="1" x14ac:dyDescent="0.3">
      <c r="A38" s="77">
        <v>47</v>
      </c>
      <c r="B38" s="108" t="s">
        <v>737</v>
      </c>
      <c r="C38" s="110"/>
      <c r="D38" s="110"/>
      <c r="E38" s="110"/>
      <c r="F38" s="110"/>
      <c r="G38" s="110"/>
      <c r="H38" s="110" t="s">
        <v>749</v>
      </c>
      <c r="I38" s="110"/>
      <c r="J38" s="110"/>
      <c r="K38" s="110"/>
      <c r="L38" s="110"/>
      <c r="M38" s="110"/>
    </row>
    <row r="39" spans="1:13" ht="25" customHeight="1" x14ac:dyDescent="0.3">
      <c r="A39" s="77">
        <v>65</v>
      </c>
      <c r="B39" s="108" t="s">
        <v>760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 t="s">
        <v>749</v>
      </c>
      <c r="M39" s="110"/>
    </row>
    <row r="40" spans="1:13" ht="25" customHeight="1" x14ac:dyDescent="0.3">
      <c r="A40" s="77">
        <v>36</v>
      </c>
      <c r="B40" s="108" t="s">
        <v>774</v>
      </c>
      <c r="C40" s="110"/>
      <c r="D40" s="110"/>
      <c r="E40" s="110"/>
      <c r="F40" s="110" t="s">
        <v>749</v>
      </c>
      <c r="G40" s="110" t="s">
        <v>749</v>
      </c>
      <c r="H40" s="110"/>
      <c r="I40" s="110"/>
      <c r="J40" s="110"/>
      <c r="K40" s="110"/>
      <c r="L40" s="110"/>
      <c r="M40" s="110"/>
    </row>
    <row r="41" spans="1:13" ht="25" customHeight="1" x14ac:dyDescent="0.3">
      <c r="A41" s="77">
        <v>35</v>
      </c>
      <c r="B41" s="108" t="s">
        <v>775</v>
      </c>
      <c r="C41" s="110"/>
      <c r="D41" s="110"/>
      <c r="E41" s="110"/>
      <c r="F41" s="110" t="s">
        <v>749</v>
      </c>
      <c r="G41" s="110" t="s">
        <v>749</v>
      </c>
      <c r="H41" s="110"/>
      <c r="I41" s="110"/>
      <c r="J41" s="110"/>
      <c r="K41" s="110"/>
      <c r="L41" s="110"/>
      <c r="M41" s="110"/>
    </row>
    <row r="42" spans="1:13" ht="25" customHeight="1" x14ac:dyDescent="0.3">
      <c r="A42" s="77">
        <v>6</v>
      </c>
      <c r="B42" s="109" t="s">
        <v>734</v>
      </c>
      <c r="C42" s="112" t="s">
        <v>749</v>
      </c>
      <c r="D42" s="113"/>
      <c r="E42" s="113"/>
      <c r="F42" s="113"/>
      <c r="G42" s="113"/>
      <c r="H42" s="110"/>
      <c r="I42" s="110"/>
      <c r="J42" s="110"/>
      <c r="K42" s="110"/>
      <c r="L42" s="110"/>
      <c r="M42" s="110"/>
    </row>
    <row r="43" spans="1:13" ht="25" customHeight="1" x14ac:dyDescent="0.3">
      <c r="A43" s="77">
        <v>53</v>
      </c>
      <c r="B43" s="108" t="s">
        <v>752</v>
      </c>
      <c r="C43" s="110"/>
      <c r="D43" s="110"/>
      <c r="E43" s="110"/>
      <c r="F43" s="110"/>
      <c r="G43" s="110"/>
      <c r="H43" s="110"/>
      <c r="I43" s="110" t="s">
        <v>749</v>
      </c>
      <c r="J43" s="110"/>
      <c r="K43" s="110"/>
      <c r="L43" s="110"/>
      <c r="M43" s="110"/>
    </row>
    <row r="44" spans="1:13" ht="25" customHeight="1" x14ac:dyDescent="0.3">
      <c r="A44" s="77">
        <v>23</v>
      </c>
      <c r="B44" s="108" t="s">
        <v>505</v>
      </c>
      <c r="C44" s="110"/>
      <c r="D44" s="110"/>
      <c r="E44" s="110"/>
      <c r="F44" s="110" t="s">
        <v>749</v>
      </c>
      <c r="G44" s="110"/>
      <c r="H44" s="110"/>
      <c r="I44" s="110"/>
      <c r="J44" s="110"/>
      <c r="K44" s="110"/>
      <c r="L44" s="110"/>
      <c r="M44" s="110"/>
    </row>
    <row r="45" spans="1:13" ht="25" customHeight="1" x14ac:dyDescent="0.3">
      <c r="A45" s="77">
        <v>8</v>
      </c>
      <c r="B45" s="108" t="s">
        <v>505</v>
      </c>
      <c r="C45" s="111"/>
      <c r="D45" s="111" t="s">
        <v>749</v>
      </c>
      <c r="E45" s="111"/>
      <c r="F45" s="111"/>
      <c r="G45" s="111"/>
      <c r="H45" s="110"/>
      <c r="I45" s="110"/>
      <c r="J45" s="110"/>
      <c r="K45" s="110"/>
      <c r="L45" s="110"/>
      <c r="M45" s="110"/>
    </row>
    <row r="46" spans="1:13" ht="25" customHeight="1" x14ac:dyDescent="0.3">
      <c r="A46" s="77">
        <v>43</v>
      </c>
      <c r="B46" s="108" t="s">
        <v>505</v>
      </c>
      <c r="C46" s="110"/>
      <c r="D46" s="110"/>
      <c r="E46" s="110"/>
      <c r="F46" s="110"/>
      <c r="G46" s="110"/>
      <c r="H46" s="110" t="s">
        <v>749</v>
      </c>
      <c r="I46" s="110"/>
      <c r="J46" s="110"/>
      <c r="K46" s="110"/>
      <c r="L46" s="110"/>
      <c r="M46" s="110"/>
    </row>
    <row r="47" spans="1:13" ht="25" customHeight="1" x14ac:dyDescent="0.3">
      <c r="A47" s="77">
        <v>46</v>
      </c>
      <c r="B47" s="108" t="s">
        <v>747</v>
      </c>
      <c r="C47" s="110"/>
      <c r="D47" s="110"/>
      <c r="E47" s="110"/>
      <c r="F47" s="110"/>
      <c r="G47" s="110"/>
      <c r="H47" s="110" t="s">
        <v>749</v>
      </c>
      <c r="I47" s="110"/>
      <c r="J47" s="110"/>
      <c r="K47" s="110"/>
      <c r="L47" s="110"/>
      <c r="M47" s="110"/>
    </row>
    <row r="48" spans="1:13" ht="25" customHeight="1" x14ac:dyDescent="0.3">
      <c r="A48" s="77">
        <v>12</v>
      </c>
      <c r="B48" s="108" t="s">
        <v>736</v>
      </c>
      <c r="C48" s="113"/>
      <c r="D48" s="111" t="s">
        <v>749</v>
      </c>
      <c r="E48" s="111"/>
      <c r="F48" s="111"/>
      <c r="G48" s="111"/>
      <c r="H48" s="110"/>
      <c r="I48" s="110"/>
      <c r="J48" s="110"/>
      <c r="K48" s="110"/>
      <c r="L48" s="110"/>
      <c r="M48" s="110"/>
    </row>
    <row r="49" spans="1:13" ht="25" customHeight="1" x14ac:dyDescent="0.3">
      <c r="A49" s="77">
        <v>55</v>
      </c>
      <c r="B49" s="108" t="s">
        <v>755</v>
      </c>
      <c r="C49" s="110"/>
      <c r="D49" s="110"/>
      <c r="E49" s="110"/>
      <c r="F49" s="110"/>
      <c r="G49" s="110"/>
      <c r="H49" s="110"/>
      <c r="I49" s="110" t="s">
        <v>749</v>
      </c>
      <c r="J49" s="110"/>
      <c r="K49" s="110"/>
      <c r="L49" s="110"/>
      <c r="M49" s="110"/>
    </row>
    <row r="50" spans="1:13" ht="25" customHeight="1" x14ac:dyDescent="0.3">
      <c r="A50" s="77">
        <v>59</v>
      </c>
      <c r="B50" s="108" t="s">
        <v>755</v>
      </c>
      <c r="C50" s="110"/>
      <c r="D50" s="110"/>
      <c r="E50" s="110"/>
      <c r="F50" s="110"/>
      <c r="G50" s="110"/>
      <c r="H50" s="110"/>
      <c r="I50" s="110" t="s">
        <v>749</v>
      </c>
      <c r="J50" s="110"/>
      <c r="K50" s="110"/>
      <c r="L50" s="110"/>
      <c r="M50" s="110"/>
    </row>
    <row r="51" spans="1:13" ht="25" customHeight="1" x14ac:dyDescent="0.3">
      <c r="A51" s="77">
        <v>62</v>
      </c>
      <c r="B51" s="108" t="s">
        <v>758</v>
      </c>
      <c r="C51" s="110"/>
      <c r="D51" s="110"/>
      <c r="E51" s="110"/>
      <c r="F51" s="110"/>
      <c r="G51" s="110"/>
      <c r="H51" s="110"/>
      <c r="I51" s="110"/>
      <c r="J51" s="110"/>
      <c r="K51" s="110" t="s">
        <v>749</v>
      </c>
      <c r="L51" s="110"/>
      <c r="M51" s="110"/>
    </row>
    <row r="52" spans="1:13" ht="25" customHeight="1" x14ac:dyDescent="0.3">
      <c r="A52" s="77">
        <v>30</v>
      </c>
      <c r="B52" s="108" t="s">
        <v>780</v>
      </c>
      <c r="C52" s="110"/>
      <c r="D52" s="110"/>
      <c r="E52" s="110"/>
      <c r="F52" s="110" t="s">
        <v>749</v>
      </c>
      <c r="G52" s="110"/>
      <c r="H52" s="110"/>
      <c r="I52" s="110"/>
      <c r="J52" s="110"/>
      <c r="K52" s="110"/>
      <c r="L52" s="110"/>
      <c r="M52" s="110"/>
    </row>
    <row r="53" spans="1:13" ht="25" customHeight="1" x14ac:dyDescent="0.3">
      <c r="A53" s="77">
        <v>76</v>
      </c>
      <c r="B53" s="108" t="s">
        <v>767</v>
      </c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 t="s">
        <v>749</v>
      </c>
    </row>
    <row r="54" spans="1:13" ht="25" customHeight="1" x14ac:dyDescent="0.3">
      <c r="A54" s="77">
        <v>39</v>
      </c>
      <c r="B54" s="108" t="s">
        <v>743</v>
      </c>
      <c r="C54" s="110"/>
      <c r="D54" s="110"/>
      <c r="E54" s="110"/>
      <c r="F54" s="110" t="s">
        <v>749</v>
      </c>
      <c r="G54" s="110"/>
      <c r="H54" s="110"/>
      <c r="I54" s="110"/>
      <c r="J54" s="110"/>
      <c r="K54" s="110"/>
      <c r="L54" s="110"/>
      <c r="M54" s="110"/>
    </row>
    <row r="55" spans="1:13" ht="25" customHeight="1" x14ac:dyDescent="0.3">
      <c r="A55" s="77">
        <v>21</v>
      </c>
      <c r="B55" s="108" t="s">
        <v>743</v>
      </c>
      <c r="C55" s="110"/>
      <c r="D55" s="110" t="s">
        <v>749</v>
      </c>
      <c r="E55" s="110"/>
      <c r="F55" s="110"/>
      <c r="G55" s="110"/>
      <c r="H55" s="110"/>
      <c r="I55" s="110"/>
      <c r="J55" s="110"/>
      <c r="K55" s="110"/>
      <c r="L55" s="110"/>
      <c r="M55" s="110"/>
    </row>
    <row r="56" spans="1:13" ht="25" customHeight="1" x14ac:dyDescent="0.3">
      <c r="A56" s="77">
        <v>52</v>
      </c>
      <c r="B56" s="108" t="s">
        <v>751</v>
      </c>
      <c r="C56" s="110"/>
      <c r="D56" s="110"/>
      <c r="E56" s="110"/>
      <c r="F56" s="110"/>
      <c r="G56" s="110"/>
      <c r="H56" s="110"/>
      <c r="I56" s="110" t="s">
        <v>749</v>
      </c>
      <c r="J56" s="110"/>
      <c r="K56" s="110"/>
      <c r="L56" s="110"/>
      <c r="M56" s="110"/>
    </row>
    <row r="57" spans="1:13" ht="25" customHeight="1" x14ac:dyDescent="0.3">
      <c r="A57" s="77">
        <v>5</v>
      </c>
      <c r="B57" s="109" t="s">
        <v>733</v>
      </c>
      <c r="C57" s="112" t="s">
        <v>749</v>
      </c>
      <c r="D57" s="113"/>
      <c r="E57" s="113"/>
      <c r="F57" s="113"/>
      <c r="G57" s="113"/>
      <c r="H57" s="110"/>
      <c r="I57" s="110"/>
      <c r="J57" s="110"/>
      <c r="K57" s="110"/>
      <c r="L57" s="110"/>
      <c r="M57" s="110"/>
    </row>
    <row r="58" spans="1:13" ht="25" customHeight="1" x14ac:dyDescent="0.3">
      <c r="A58" s="77">
        <v>1</v>
      </c>
      <c r="B58" s="108" t="s">
        <v>729</v>
      </c>
      <c r="C58" s="112" t="s">
        <v>749</v>
      </c>
      <c r="D58" s="111"/>
      <c r="E58" s="111"/>
      <c r="F58" s="111"/>
      <c r="G58" s="111"/>
      <c r="H58" s="110"/>
      <c r="I58" s="110"/>
      <c r="J58" s="110"/>
      <c r="K58" s="110"/>
      <c r="L58" s="110"/>
      <c r="M58" s="110"/>
    </row>
    <row r="59" spans="1:13" ht="25" customHeight="1" x14ac:dyDescent="0.3">
      <c r="A59" s="77">
        <v>58</v>
      </c>
      <c r="B59" s="108" t="s">
        <v>754</v>
      </c>
      <c r="C59" s="110"/>
      <c r="D59" s="110"/>
      <c r="E59" s="110"/>
      <c r="F59" s="110"/>
      <c r="G59" s="110"/>
      <c r="H59" s="110"/>
      <c r="I59" s="110" t="s">
        <v>749</v>
      </c>
      <c r="J59" s="110"/>
      <c r="K59" s="110"/>
      <c r="L59" s="110"/>
      <c r="M59" s="110"/>
    </row>
    <row r="60" spans="1:13" ht="25" customHeight="1" x14ac:dyDescent="0.3">
      <c r="A60" s="77">
        <v>29</v>
      </c>
      <c r="B60" s="108" t="s">
        <v>776</v>
      </c>
      <c r="C60" s="110"/>
      <c r="D60" s="110"/>
      <c r="E60" s="110"/>
      <c r="F60" s="110" t="s">
        <v>749</v>
      </c>
      <c r="G60" s="110"/>
      <c r="H60" s="110"/>
      <c r="I60" s="110"/>
      <c r="J60" s="110"/>
      <c r="K60" s="110"/>
      <c r="L60" s="110"/>
      <c r="M60" s="110"/>
    </row>
    <row r="61" spans="1:13" ht="25" customHeight="1" x14ac:dyDescent="0.3">
      <c r="A61" s="77">
        <v>18</v>
      </c>
      <c r="B61" s="108" t="s">
        <v>740</v>
      </c>
      <c r="C61" s="110"/>
      <c r="D61" s="110" t="s">
        <v>749</v>
      </c>
      <c r="E61" s="110" t="s">
        <v>749</v>
      </c>
      <c r="F61" s="110"/>
      <c r="G61" s="110"/>
      <c r="H61" s="110"/>
      <c r="I61" s="110"/>
      <c r="J61" s="110"/>
      <c r="K61" s="110"/>
      <c r="L61" s="110"/>
      <c r="M61" s="110"/>
    </row>
    <row r="62" spans="1:13" ht="25" customHeight="1" x14ac:dyDescent="0.3">
      <c r="A62" s="77">
        <v>64</v>
      </c>
      <c r="B62" s="108" t="s">
        <v>759</v>
      </c>
      <c r="C62" s="110"/>
      <c r="D62" s="110"/>
      <c r="E62" s="110"/>
      <c r="F62" s="110"/>
      <c r="G62" s="110"/>
      <c r="H62" s="110"/>
      <c r="I62" s="110"/>
      <c r="J62" s="110"/>
      <c r="K62" s="110"/>
      <c r="L62" s="110" t="s">
        <v>749</v>
      </c>
      <c r="M62" s="110"/>
    </row>
    <row r="63" spans="1:13" ht="25" customHeight="1" x14ac:dyDescent="0.3">
      <c r="A63" s="77">
        <v>14</v>
      </c>
      <c r="B63" s="108" t="s">
        <v>562</v>
      </c>
      <c r="C63" s="113"/>
      <c r="D63" s="111" t="s">
        <v>749</v>
      </c>
      <c r="E63" s="111" t="s">
        <v>749</v>
      </c>
      <c r="F63" s="111"/>
      <c r="G63" s="111"/>
      <c r="H63" s="110"/>
      <c r="I63" s="110"/>
      <c r="J63" s="110"/>
      <c r="K63" s="110"/>
      <c r="L63" s="110"/>
      <c r="M63" s="110"/>
    </row>
    <row r="64" spans="1:13" ht="25" customHeight="1" x14ac:dyDescent="0.3">
      <c r="A64" s="77">
        <v>48</v>
      </c>
      <c r="B64" s="108" t="s">
        <v>562</v>
      </c>
      <c r="C64" s="110"/>
      <c r="D64" s="110"/>
      <c r="E64" s="110"/>
      <c r="F64" s="110"/>
      <c r="G64" s="110"/>
      <c r="H64" s="110" t="s">
        <v>749</v>
      </c>
      <c r="I64" s="110"/>
      <c r="J64" s="110"/>
      <c r="K64" s="110"/>
      <c r="L64" s="110"/>
      <c r="M64" s="110"/>
    </row>
    <row r="65" spans="1:13" ht="25" customHeight="1" x14ac:dyDescent="0.3">
      <c r="A65" s="77">
        <v>71</v>
      </c>
      <c r="B65" s="108" t="s">
        <v>766</v>
      </c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 t="s">
        <v>749</v>
      </c>
    </row>
    <row r="66" spans="1:13" ht="25" customHeight="1" x14ac:dyDescent="0.3">
      <c r="A66" s="77">
        <v>68</v>
      </c>
      <c r="B66" s="108" t="s">
        <v>764</v>
      </c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 t="s">
        <v>749</v>
      </c>
    </row>
    <row r="67" spans="1:13" ht="25" customHeight="1" x14ac:dyDescent="0.3">
      <c r="A67" s="77">
        <v>3</v>
      </c>
      <c r="B67" s="109" t="s">
        <v>731</v>
      </c>
      <c r="C67" s="112" t="s">
        <v>749</v>
      </c>
      <c r="D67" s="113"/>
      <c r="E67" s="113"/>
      <c r="F67" s="113"/>
      <c r="G67" s="113"/>
      <c r="H67" s="110"/>
      <c r="I67" s="110"/>
      <c r="J67" s="110"/>
      <c r="K67" s="110"/>
      <c r="L67" s="110"/>
      <c r="M67" s="110"/>
    </row>
    <row r="68" spans="1:13" ht="25" customHeight="1" x14ac:dyDescent="0.3">
      <c r="A68" s="77">
        <v>41</v>
      </c>
      <c r="B68" s="108" t="s">
        <v>746</v>
      </c>
      <c r="C68" s="110"/>
      <c r="D68" s="110"/>
      <c r="E68" s="110"/>
      <c r="F68" s="110"/>
      <c r="G68" s="110"/>
      <c r="H68" s="110" t="s">
        <v>749</v>
      </c>
      <c r="I68" s="110"/>
      <c r="J68" s="110"/>
      <c r="K68" s="110"/>
      <c r="L68" s="110"/>
      <c r="M68" s="110"/>
    </row>
    <row r="69" spans="1:13" ht="25" customHeight="1" x14ac:dyDescent="0.3">
      <c r="A69" s="77">
        <v>44</v>
      </c>
      <c r="B69" s="108" t="s">
        <v>746</v>
      </c>
      <c r="C69" s="110"/>
      <c r="D69" s="110"/>
      <c r="E69" s="110"/>
      <c r="F69" s="110"/>
      <c r="G69" s="110"/>
      <c r="H69" s="110" t="s">
        <v>749</v>
      </c>
      <c r="I69" s="110"/>
      <c r="J69" s="110"/>
      <c r="K69" s="110"/>
      <c r="L69" s="110"/>
      <c r="M69" s="110"/>
    </row>
    <row r="70" spans="1:13" ht="25" customHeight="1" x14ac:dyDescent="0.3">
      <c r="A70" s="77">
        <v>4</v>
      </c>
      <c r="B70" s="109" t="s">
        <v>732</v>
      </c>
      <c r="C70" s="112" t="s">
        <v>749</v>
      </c>
      <c r="D70" s="113"/>
      <c r="E70" s="113"/>
      <c r="F70" s="113"/>
      <c r="G70" s="113"/>
      <c r="H70" s="110"/>
      <c r="I70" s="110"/>
      <c r="J70" s="110"/>
      <c r="K70" s="110"/>
      <c r="L70" s="110"/>
      <c r="M70" s="110"/>
    </row>
    <row r="71" spans="1:13" ht="25" customHeight="1" x14ac:dyDescent="0.3">
      <c r="A71" s="77">
        <v>2</v>
      </c>
      <c r="B71" s="109" t="s">
        <v>730</v>
      </c>
      <c r="C71" s="112" t="s">
        <v>749</v>
      </c>
      <c r="D71" s="113"/>
      <c r="E71" s="113"/>
      <c r="F71" s="113"/>
      <c r="G71" s="113"/>
      <c r="H71" s="110"/>
      <c r="I71" s="110"/>
      <c r="J71" s="110"/>
      <c r="K71" s="110"/>
      <c r="L71" s="110"/>
      <c r="M71" s="110"/>
    </row>
    <row r="72" spans="1:13" ht="25" customHeight="1" x14ac:dyDescent="0.3">
      <c r="A72" s="77">
        <v>17</v>
      </c>
      <c r="B72" s="108" t="s">
        <v>739</v>
      </c>
      <c r="C72" s="110"/>
      <c r="D72" s="110"/>
      <c r="E72" s="110" t="s">
        <v>749</v>
      </c>
      <c r="F72" s="110"/>
      <c r="G72" s="110"/>
      <c r="H72" s="110"/>
      <c r="I72" s="110"/>
      <c r="J72" s="110"/>
      <c r="K72" s="110"/>
      <c r="L72" s="110"/>
      <c r="M72" s="110"/>
    </row>
    <row r="73" spans="1:13" ht="25" customHeight="1" x14ac:dyDescent="0.3">
      <c r="A73" s="77">
        <v>66</v>
      </c>
      <c r="B73" s="108" t="s">
        <v>762</v>
      </c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 t="s">
        <v>749</v>
      </c>
    </row>
    <row r="74" spans="1:13" ht="25" customHeight="1" x14ac:dyDescent="0.3">
      <c r="A74" s="77">
        <v>37</v>
      </c>
      <c r="B74" s="108" t="s">
        <v>777</v>
      </c>
      <c r="C74" s="110"/>
      <c r="D74" s="110"/>
      <c r="E74" s="110"/>
      <c r="F74" s="110" t="s">
        <v>749</v>
      </c>
      <c r="G74" s="110" t="s">
        <v>749</v>
      </c>
      <c r="H74" s="110"/>
      <c r="I74" s="110"/>
      <c r="J74" s="110"/>
      <c r="K74" s="110"/>
      <c r="L74" s="110"/>
      <c r="M74" s="110"/>
    </row>
  </sheetData>
  <autoFilter ref="A1:M74" xr:uid="{BC9C3601-4085-41FD-A6DF-22327ECCBBD1}">
    <sortState xmlns:xlrd2="http://schemas.microsoft.com/office/spreadsheetml/2017/richdata2" ref="A2:M74">
      <sortCondition ref="B1:B74"/>
    </sortState>
  </autoFilter>
  <phoneticPr fontId="1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indexed="13"/>
  </sheetPr>
  <dimension ref="A1:E30"/>
  <sheetViews>
    <sheetView showGridLines="0" view="pageBreakPreview" zoomScale="75" zoomScaleSheetLayoutView="75" workbookViewId="0">
      <selection sqref="A1:XFD25"/>
    </sheetView>
  </sheetViews>
  <sheetFormatPr baseColWidth="10" defaultColWidth="11.3984375" defaultRowHeight="15.5" outlineLevelCol="1" x14ac:dyDescent="0.3"/>
  <cols>
    <col min="1" max="1" width="4" style="25" customWidth="1"/>
    <col min="2" max="2" width="68.8984375" style="26" customWidth="1"/>
    <col min="3" max="3" width="7" style="2" bestFit="1" customWidth="1"/>
    <col min="4" max="4" width="21.296875" style="2" hidden="1" customWidth="1" outlineLevel="1"/>
    <col min="5" max="5" width="21.8984375" style="2" bestFit="1" customWidth="1" collapsed="1"/>
    <col min="6" max="16384" width="11.3984375" style="2"/>
  </cols>
  <sheetData>
    <row r="1" spans="1:5" s="12" customFormat="1" ht="24" customHeight="1" x14ac:dyDescent="0.3">
      <c r="A1" s="28">
        <v>34</v>
      </c>
      <c r="B1" s="29" t="s">
        <v>1</v>
      </c>
      <c r="C1" s="13">
        <v>0</v>
      </c>
      <c r="D1" s="9"/>
      <c r="E1" s="10">
        <f>C1*D1</f>
        <v>0</v>
      </c>
    </row>
    <row r="2" spans="1:5" s="12" customFormat="1" ht="24" customHeight="1" x14ac:dyDescent="0.3">
      <c r="A2" s="28">
        <v>34</v>
      </c>
      <c r="B2" s="29" t="s">
        <v>2</v>
      </c>
      <c r="C2" s="13">
        <v>3</v>
      </c>
      <c r="D2" s="9">
        <v>10000000</v>
      </c>
      <c r="E2" s="10">
        <f t="shared" ref="E2:E10" si="0">C2*D2</f>
        <v>30000000</v>
      </c>
    </row>
    <row r="3" spans="1:5" s="12" customFormat="1" ht="24" customHeight="1" x14ac:dyDescent="0.3">
      <c r="A3" s="28">
        <v>34</v>
      </c>
      <c r="B3" s="29" t="s">
        <v>3</v>
      </c>
      <c r="C3" s="13">
        <v>1</v>
      </c>
      <c r="D3" s="9">
        <v>1500000000</v>
      </c>
      <c r="E3" s="10">
        <f t="shared" si="0"/>
        <v>1500000000</v>
      </c>
    </row>
    <row r="4" spans="1:5" s="12" customFormat="1" ht="24" customHeight="1" x14ac:dyDescent="0.3">
      <c r="A4" s="28">
        <v>34</v>
      </c>
      <c r="B4" s="29" t="s">
        <v>4</v>
      </c>
      <c r="C4" s="13">
        <v>0</v>
      </c>
      <c r="D4" s="9">
        <v>2190000000</v>
      </c>
      <c r="E4" s="10">
        <f>C4*D4</f>
        <v>0</v>
      </c>
    </row>
    <row r="5" spans="1:5" s="12" customFormat="1" ht="24" customHeight="1" x14ac:dyDescent="0.3">
      <c r="A5" s="28">
        <v>34</v>
      </c>
      <c r="B5" s="29" t="s">
        <v>5</v>
      </c>
      <c r="C5" s="13">
        <v>0</v>
      </c>
      <c r="D5" s="9">
        <v>164000000</v>
      </c>
      <c r="E5" s="10">
        <f t="shared" si="0"/>
        <v>0</v>
      </c>
    </row>
    <row r="6" spans="1:5" s="12" customFormat="1" ht="24" customHeight="1" x14ac:dyDescent="0.3">
      <c r="A6" s="28">
        <v>34</v>
      </c>
      <c r="B6" s="29" t="s">
        <v>6</v>
      </c>
      <c r="C6" s="13">
        <v>0</v>
      </c>
      <c r="D6" s="9">
        <v>8600000</v>
      </c>
      <c r="E6" s="10">
        <f t="shared" si="0"/>
        <v>0</v>
      </c>
    </row>
    <row r="7" spans="1:5" s="12" customFormat="1" ht="24" customHeight="1" x14ac:dyDescent="0.3">
      <c r="A7" s="28">
        <v>35</v>
      </c>
      <c r="B7" s="29" t="s">
        <v>7</v>
      </c>
      <c r="C7" s="13">
        <v>0</v>
      </c>
      <c r="D7" s="9">
        <v>10000000</v>
      </c>
      <c r="E7" s="10">
        <f t="shared" si="0"/>
        <v>0</v>
      </c>
    </row>
    <row r="8" spans="1:5" s="12" customFormat="1" ht="24" customHeight="1" x14ac:dyDescent="0.3">
      <c r="A8" s="28">
        <v>36</v>
      </c>
      <c r="B8" s="29" t="s">
        <v>8</v>
      </c>
      <c r="C8" s="13">
        <v>900</v>
      </c>
      <c r="D8" s="9">
        <v>25000</v>
      </c>
      <c r="E8" s="10">
        <v>22500000</v>
      </c>
    </row>
    <row r="9" spans="1:5" s="12" customFormat="1" ht="26.25" customHeight="1" x14ac:dyDescent="0.3">
      <c r="A9" s="28">
        <v>37</v>
      </c>
      <c r="B9" s="29" t="s">
        <v>9</v>
      </c>
      <c r="C9" s="13">
        <v>0</v>
      </c>
      <c r="D9" s="9">
        <v>8000000</v>
      </c>
      <c r="E9" s="10">
        <f t="shared" si="0"/>
        <v>0</v>
      </c>
    </row>
    <row r="10" spans="1:5" s="12" customFormat="1" ht="24" customHeight="1" x14ac:dyDescent="0.3">
      <c r="A10" s="28">
        <v>38</v>
      </c>
      <c r="B10" s="29" t="s">
        <v>10</v>
      </c>
      <c r="C10" s="13">
        <v>388</v>
      </c>
      <c r="D10" s="9">
        <v>180000</v>
      </c>
      <c r="E10" s="10">
        <f t="shared" si="0"/>
        <v>69840000</v>
      </c>
    </row>
    <row r="11" spans="1:5" s="12" customFormat="1" ht="24" customHeight="1" x14ac:dyDescent="0.3">
      <c r="A11" s="28">
        <v>39</v>
      </c>
      <c r="B11" s="29" t="s">
        <v>11</v>
      </c>
      <c r="C11" s="13">
        <v>65</v>
      </c>
      <c r="D11" s="9">
        <v>25000000</v>
      </c>
      <c r="E11" s="10">
        <f t="shared" ref="E11:E19" si="1">C11*D11</f>
        <v>1625000000</v>
      </c>
    </row>
    <row r="12" spans="1:5" s="12" customFormat="1" ht="24" customHeight="1" x14ac:dyDescent="0.3">
      <c r="A12" s="28">
        <v>40</v>
      </c>
      <c r="B12" s="29" t="s">
        <v>12</v>
      </c>
      <c r="C12" s="13">
        <v>1</v>
      </c>
      <c r="D12" s="9">
        <v>18000000</v>
      </c>
      <c r="E12" s="10">
        <f t="shared" si="1"/>
        <v>18000000</v>
      </c>
    </row>
    <row r="13" spans="1:5" s="12" customFormat="1" ht="24" customHeight="1" x14ac:dyDescent="0.3">
      <c r="A13" s="28">
        <v>41</v>
      </c>
      <c r="B13" s="29" t="s">
        <v>13</v>
      </c>
      <c r="C13" s="13">
        <v>15</v>
      </c>
      <c r="D13" s="9">
        <v>5000000</v>
      </c>
      <c r="E13" s="10">
        <f t="shared" si="1"/>
        <v>75000000</v>
      </c>
    </row>
    <row r="14" spans="1:5" s="12" customFormat="1" ht="24" customHeight="1" x14ac:dyDescent="0.3">
      <c r="A14" s="28">
        <v>42</v>
      </c>
      <c r="B14" s="29" t="s">
        <v>14</v>
      </c>
      <c r="C14" s="13">
        <v>5475</v>
      </c>
      <c r="D14" s="9">
        <v>1200000</v>
      </c>
      <c r="E14" s="10">
        <f t="shared" si="1"/>
        <v>6570000000</v>
      </c>
    </row>
    <row r="15" spans="1:5" s="12" customFormat="1" ht="24" customHeight="1" x14ac:dyDescent="0.3">
      <c r="A15" s="28">
        <v>43</v>
      </c>
      <c r="B15" s="29" t="s">
        <v>15</v>
      </c>
      <c r="C15" s="13">
        <v>411</v>
      </c>
      <c r="D15" s="9">
        <v>250000</v>
      </c>
      <c r="E15" s="10">
        <f t="shared" si="1"/>
        <v>102750000</v>
      </c>
    </row>
    <row r="16" spans="1:5" s="12" customFormat="1" ht="24" customHeight="1" x14ac:dyDescent="0.3">
      <c r="A16" s="28">
        <v>44</v>
      </c>
      <c r="B16" s="29" t="s">
        <v>16</v>
      </c>
      <c r="C16" s="13">
        <v>0</v>
      </c>
      <c r="D16" s="9"/>
      <c r="E16" s="10">
        <f t="shared" si="1"/>
        <v>0</v>
      </c>
    </row>
    <row r="17" spans="1:5" s="12" customFormat="1" ht="24" customHeight="1" x14ac:dyDescent="0.3">
      <c r="A17" s="28">
        <v>45</v>
      </c>
      <c r="B17" s="29" t="s">
        <v>17</v>
      </c>
      <c r="C17" s="13">
        <v>0</v>
      </c>
      <c r="D17" s="9"/>
      <c r="E17" s="10">
        <f t="shared" si="1"/>
        <v>0</v>
      </c>
    </row>
    <row r="18" spans="1:5" s="12" customFormat="1" ht="24" customHeight="1" x14ac:dyDescent="0.3">
      <c r="A18" s="28">
        <v>45</v>
      </c>
      <c r="B18" s="29" t="s">
        <v>18</v>
      </c>
      <c r="C18" s="13">
        <v>0</v>
      </c>
      <c r="D18" s="9"/>
      <c r="E18" s="10">
        <f t="shared" si="1"/>
        <v>0</v>
      </c>
    </row>
    <row r="19" spans="1:5" s="12" customFormat="1" ht="38.25" customHeight="1" x14ac:dyDescent="0.3">
      <c r="A19" s="28">
        <v>45</v>
      </c>
      <c r="B19" s="29" t="s">
        <v>19</v>
      </c>
      <c r="C19" s="13">
        <v>1</v>
      </c>
      <c r="D19" s="9">
        <v>400000000</v>
      </c>
      <c r="E19" s="10">
        <f t="shared" si="1"/>
        <v>400000000</v>
      </c>
    </row>
    <row r="20" spans="1:5" s="12" customFormat="1" ht="24" customHeight="1" x14ac:dyDescent="0.3">
      <c r="A20" s="28">
        <v>45</v>
      </c>
      <c r="B20" s="29" t="s">
        <v>20</v>
      </c>
      <c r="C20" s="13" t="s">
        <v>21</v>
      </c>
      <c r="D20" s="9">
        <v>600000000</v>
      </c>
      <c r="E20" s="10">
        <v>1200000000</v>
      </c>
    </row>
    <row r="21" spans="1:5" s="12" customFormat="1" ht="24" customHeight="1" thickBot="1" x14ac:dyDescent="0.35">
      <c r="A21" s="28">
        <v>45</v>
      </c>
      <c r="B21" s="31" t="s">
        <v>22</v>
      </c>
      <c r="C21" s="32" t="s">
        <v>23</v>
      </c>
      <c r="D21" s="16">
        <v>600000000</v>
      </c>
      <c r="E21" s="17">
        <v>600000000</v>
      </c>
    </row>
    <row r="22" spans="1:5" s="12" customFormat="1" ht="27.75" customHeight="1" x14ac:dyDescent="0.3">
      <c r="A22" s="28">
        <v>46</v>
      </c>
      <c r="B22" s="29" t="s">
        <v>24</v>
      </c>
      <c r="C22" s="13">
        <v>2</v>
      </c>
      <c r="D22" s="9">
        <v>37000000</v>
      </c>
      <c r="E22" s="10">
        <f>D22*C22</f>
        <v>74000000</v>
      </c>
    </row>
    <row r="23" spans="1:5" s="12" customFormat="1" ht="27.75" customHeight="1" x14ac:dyDescent="0.3">
      <c r="A23" s="28">
        <v>47</v>
      </c>
      <c r="B23" s="29" t="s">
        <v>25</v>
      </c>
      <c r="C23" s="13">
        <v>4</v>
      </c>
      <c r="D23" s="9">
        <v>33000000</v>
      </c>
      <c r="E23" s="10">
        <f>D23*C23</f>
        <v>132000000</v>
      </c>
    </row>
    <row r="24" spans="1:5" s="12" customFormat="1" ht="27.75" customHeight="1" x14ac:dyDescent="0.3">
      <c r="A24" s="28">
        <v>48</v>
      </c>
      <c r="B24" s="29" t="s">
        <v>26</v>
      </c>
      <c r="C24" s="13">
        <v>0</v>
      </c>
      <c r="D24" s="9"/>
      <c r="E24" s="10">
        <f>D24*C24</f>
        <v>0</v>
      </c>
    </row>
    <row r="25" spans="1:5" s="12" customFormat="1" ht="27.75" customHeight="1" x14ac:dyDescent="0.3">
      <c r="A25" s="28">
        <v>49</v>
      </c>
      <c r="B25" s="29" t="s">
        <v>27</v>
      </c>
      <c r="C25" s="13">
        <v>15</v>
      </c>
      <c r="D25" s="9">
        <v>5000000</v>
      </c>
      <c r="E25" s="10">
        <f>D25*C25</f>
        <v>75000000</v>
      </c>
    </row>
    <row r="26" spans="1:5" x14ac:dyDescent="0.3">
      <c r="C26" s="21"/>
      <c r="D26" s="21"/>
      <c r="E26" s="21"/>
    </row>
    <row r="27" spans="1:5" x14ac:dyDescent="0.3">
      <c r="B27" s="33"/>
      <c r="C27" s="34"/>
      <c r="D27" s="34"/>
      <c r="E27" s="34"/>
    </row>
    <row r="28" spans="1:5" s="38" customFormat="1" ht="14" x14ac:dyDescent="0.3">
      <c r="A28" s="35"/>
      <c r="B28" s="36"/>
      <c r="C28" s="37"/>
      <c r="D28" s="37"/>
      <c r="E28" s="37"/>
    </row>
    <row r="29" spans="1:5" x14ac:dyDescent="0.3">
      <c r="B29" s="33"/>
      <c r="C29" s="34"/>
      <c r="D29" s="34"/>
      <c r="E29" s="34"/>
    </row>
    <row r="30" spans="1:5" x14ac:dyDescent="0.3">
      <c r="B30" s="33"/>
      <c r="C30" s="34"/>
      <c r="D30" s="34"/>
      <c r="E30" s="34"/>
    </row>
  </sheetData>
  <printOptions horizontalCentered="1"/>
  <pageMargins left="0.15748031496062992" right="0" top="0.31496062992125984" bottom="0.15748031496062992" header="0.15748031496062992" footer="0.15748031496062992"/>
  <pageSetup paperSize="9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13"/>
    <pageSetUpPr fitToPage="1"/>
  </sheetPr>
  <dimension ref="A1:E10"/>
  <sheetViews>
    <sheetView view="pageBreakPreview" zoomScale="90" zoomScaleSheetLayoutView="90" workbookViewId="0">
      <selection sqref="A1:XFD3"/>
    </sheetView>
  </sheetViews>
  <sheetFormatPr baseColWidth="10" defaultColWidth="11.3984375" defaultRowHeight="15.5" outlineLevelCol="1" x14ac:dyDescent="0.3"/>
  <cols>
    <col min="1" max="1" width="4" style="25" customWidth="1"/>
    <col min="2" max="2" width="57.296875" style="26" customWidth="1"/>
    <col min="3" max="3" width="9.8984375" style="2" customWidth="1"/>
    <col min="4" max="4" width="22.69921875" style="2" hidden="1" customWidth="1" outlineLevel="1"/>
    <col min="5" max="5" width="26" style="2" customWidth="1" collapsed="1"/>
    <col min="6" max="16384" width="11.3984375" style="2"/>
  </cols>
  <sheetData>
    <row r="1" spans="1:5" s="12" customFormat="1" ht="25.5" customHeight="1" x14ac:dyDescent="0.3">
      <c r="A1" s="5">
        <v>50</v>
      </c>
      <c r="B1" s="6" t="s">
        <v>28</v>
      </c>
      <c r="C1" s="8">
        <v>2</v>
      </c>
      <c r="D1" s="9">
        <v>24000000</v>
      </c>
      <c r="E1" s="10">
        <f>D1*C1</f>
        <v>48000000</v>
      </c>
    </row>
    <row r="2" spans="1:5" s="12" customFormat="1" ht="25.5" customHeight="1" x14ac:dyDescent="0.3">
      <c r="A2" s="5">
        <v>51</v>
      </c>
      <c r="B2" s="6" t="s">
        <v>29</v>
      </c>
      <c r="C2" s="8">
        <v>12</v>
      </c>
      <c r="D2" s="9"/>
      <c r="E2" s="10">
        <v>400000000</v>
      </c>
    </row>
    <row r="3" spans="1:5" s="12" customFormat="1" ht="25.5" customHeight="1" x14ac:dyDescent="0.3">
      <c r="A3" s="5">
        <v>52</v>
      </c>
      <c r="B3" s="6" t="s">
        <v>30</v>
      </c>
      <c r="C3" s="8">
        <v>0</v>
      </c>
      <c r="D3" s="9">
        <v>15000000</v>
      </c>
      <c r="E3" s="10">
        <f>D3*C3</f>
        <v>0</v>
      </c>
    </row>
    <row r="4" spans="1:5" x14ac:dyDescent="0.3">
      <c r="A4" s="19"/>
      <c r="B4" s="20"/>
      <c r="C4" s="21"/>
      <c r="D4" s="21"/>
      <c r="E4" s="21"/>
    </row>
    <row r="5" spans="1:5" s="24" customFormat="1" ht="14" x14ac:dyDescent="0.3">
      <c r="A5" s="22"/>
      <c r="B5" s="23"/>
      <c r="C5" s="18"/>
      <c r="D5" s="18"/>
      <c r="E5" s="18"/>
    </row>
    <row r="6" spans="1:5" x14ac:dyDescent="0.3">
      <c r="E6" s="27"/>
    </row>
    <row r="10" spans="1:5" x14ac:dyDescent="0.3">
      <c r="E10" s="27"/>
    </row>
  </sheetData>
  <printOptions horizontalCentered="1"/>
  <pageMargins left="0.15748031496062992" right="0" top="0.5" bottom="0.19685039370078741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3"/>
  </sheetPr>
  <dimension ref="A1:G64"/>
  <sheetViews>
    <sheetView showGridLines="0" view="pageBreakPreview" topLeftCell="A40" zoomScale="85" zoomScaleSheetLayoutView="85" workbookViewId="0">
      <selection sqref="A1:XFD63"/>
    </sheetView>
  </sheetViews>
  <sheetFormatPr baseColWidth="10" defaultColWidth="11.3984375" defaultRowHeight="15.5" outlineLevelCol="1" x14ac:dyDescent="0.3"/>
  <cols>
    <col min="1" max="1" width="4" style="25" customWidth="1"/>
    <col min="2" max="2" width="64.3984375" style="26" customWidth="1"/>
    <col min="3" max="3" width="7.8984375" style="2" customWidth="1"/>
    <col min="4" max="4" width="21.296875" style="2" hidden="1" customWidth="1" outlineLevel="1"/>
    <col min="5" max="5" width="25" style="2" customWidth="1" collapsed="1"/>
    <col min="6" max="6" width="16.09765625" style="2" bestFit="1" customWidth="1"/>
    <col min="7" max="7" width="18.296875" style="2" bestFit="1" customWidth="1"/>
    <col min="8" max="16384" width="11.3984375" style="2"/>
  </cols>
  <sheetData>
    <row r="1" spans="1:7" s="12" customFormat="1" ht="24" customHeight="1" x14ac:dyDescent="0.3">
      <c r="A1" s="28">
        <v>53</v>
      </c>
      <c r="B1" s="29" t="s">
        <v>31</v>
      </c>
      <c r="C1" s="13">
        <v>0</v>
      </c>
      <c r="D1" s="9"/>
      <c r="E1" s="10">
        <f>D1*C1</f>
        <v>0</v>
      </c>
    </row>
    <row r="2" spans="1:7" s="12" customFormat="1" ht="24" customHeight="1" x14ac:dyDescent="0.3">
      <c r="A2" s="28">
        <v>53</v>
      </c>
      <c r="B2" s="29" t="s">
        <v>32</v>
      </c>
      <c r="C2" s="13">
        <v>0</v>
      </c>
      <c r="D2" s="9">
        <v>110000000</v>
      </c>
      <c r="E2" s="10">
        <f>D2*C2</f>
        <v>0</v>
      </c>
    </row>
    <row r="3" spans="1:7" s="12" customFormat="1" ht="24" customHeight="1" x14ac:dyDescent="0.3">
      <c r="A3" s="28">
        <v>53</v>
      </c>
      <c r="B3" s="29" t="s">
        <v>33</v>
      </c>
      <c r="C3" s="13">
        <v>1</v>
      </c>
      <c r="D3" s="9">
        <v>60000000</v>
      </c>
      <c r="E3" s="10">
        <f>D3*C3</f>
        <v>60000000</v>
      </c>
    </row>
    <row r="4" spans="1:7" s="12" customFormat="1" ht="24" customHeight="1" x14ac:dyDescent="0.3">
      <c r="A4" s="28">
        <v>53</v>
      </c>
      <c r="B4" s="29" t="s">
        <v>34</v>
      </c>
      <c r="C4" s="13">
        <v>0</v>
      </c>
      <c r="D4" s="9">
        <v>100000000</v>
      </c>
      <c r="E4" s="10">
        <f>D4*C4</f>
        <v>0</v>
      </c>
      <c r="G4" s="39"/>
    </row>
    <row r="5" spans="1:7" s="12" customFormat="1" ht="24" customHeight="1" x14ac:dyDescent="0.3">
      <c r="A5" s="28">
        <v>54</v>
      </c>
      <c r="B5" s="29" t="s">
        <v>35</v>
      </c>
      <c r="C5" s="13">
        <v>0</v>
      </c>
      <c r="D5" s="9"/>
      <c r="E5" s="10">
        <f t="shared" ref="E5:E63" si="0">D5*C5</f>
        <v>0</v>
      </c>
      <c r="G5" s="39"/>
    </row>
    <row r="6" spans="1:7" s="12" customFormat="1" ht="24" customHeight="1" x14ac:dyDescent="0.3">
      <c r="A6" s="28">
        <v>54</v>
      </c>
      <c r="B6" s="29" t="s">
        <v>36</v>
      </c>
      <c r="C6" s="13">
        <v>13</v>
      </c>
      <c r="D6" s="9">
        <v>25000000</v>
      </c>
      <c r="E6" s="10">
        <f t="shared" si="0"/>
        <v>325000000</v>
      </c>
      <c r="G6" s="39"/>
    </row>
    <row r="7" spans="1:7" s="12" customFormat="1" ht="24" customHeight="1" x14ac:dyDescent="0.3">
      <c r="A7" s="28">
        <v>54</v>
      </c>
      <c r="B7" s="29" t="s">
        <v>37</v>
      </c>
      <c r="C7" s="13">
        <v>13</v>
      </c>
      <c r="D7" s="9">
        <v>19000000</v>
      </c>
      <c r="E7" s="10">
        <f t="shared" si="0"/>
        <v>247000000</v>
      </c>
    </row>
    <row r="8" spans="1:7" s="12" customFormat="1" ht="24" customHeight="1" x14ac:dyDescent="0.3">
      <c r="A8" s="28">
        <v>54</v>
      </c>
      <c r="B8" s="29" t="s">
        <v>38</v>
      </c>
      <c r="C8" s="13">
        <v>7</v>
      </c>
      <c r="D8" s="9">
        <v>15000000</v>
      </c>
      <c r="E8" s="10">
        <f t="shared" si="0"/>
        <v>105000000</v>
      </c>
    </row>
    <row r="9" spans="1:7" s="12" customFormat="1" ht="24" customHeight="1" x14ac:dyDescent="0.3">
      <c r="A9" s="28">
        <v>54</v>
      </c>
      <c r="B9" s="29" t="s">
        <v>39</v>
      </c>
      <c r="C9" s="13">
        <v>1</v>
      </c>
      <c r="D9" s="9">
        <v>100000000</v>
      </c>
      <c r="E9" s="10">
        <f t="shared" si="0"/>
        <v>100000000</v>
      </c>
    </row>
    <row r="10" spans="1:7" s="12" customFormat="1" ht="24" customHeight="1" x14ac:dyDescent="0.3">
      <c r="A10" s="28">
        <v>55</v>
      </c>
      <c r="B10" s="29" t="s">
        <v>40</v>
      </c>
      <c r="C10" s="13">
        <v>0</v>
      </c>
      <c r="D10" s="9"/>
      <c r="E10" s="10">
        <f t="shared" si="0"/>
        <v>0</v>
      </c>
    </row>
    <row r="11" spans="1:7" s="12" customFormat="1" ht="24" customHeight="1" x14ac:dyDescent="0.3">
      <c r="A11" s="28">
        <v>55</v>
      </c>
      <c r="B11" s="29" t="s">
        <v>41</v>
      </c>
      <c r="C11" s="13">
        <v>20</v>
      </c>
      <c r="D11" s="9">
        <v>14000000</v>
      </c>
      <c r="E11" s="10">
        <f>D11*C11</f>
        <v>280000000</v>
      </c>
    </row>
    <row r="12" spans="1:7" s="12" customFormat="1" ht="24" customHeight="1" x14ac:dyDescent="0.3">
      <c r="A12" s="28">
        <v>55</v>
      </c>
      <c r="B12" s="29" t="s">
        <v>42</v>
      </c>
      <c r="C12" s="13">
        <v>29</v>
      </c>
      <c r="D12" s="9">
        <v>11000000</v>
      </c>
      <c r="E12" s="10">
        <f t="shared" si="0"/>
        <v>319000000</v>
      </c>
    </row>
    <row r="13" spans="1:7" s="12" customFormat="1" ht="24" customHeight="1" x14ac:dyDescent="0.3">
      <c r="A13" s="28">
        <v>56</v>
      </c>
      <c r="B13" s="29" t="s">
        <v>43</v>
      </c>
      <c r="C13" s="13">
        <v>1</v>
      </c>
      <c r="D13" s="9">
        <v>17000000</v>
      </c>
      <c r="E13" s="10">
        <f t="shared" si="0"/>
        <v>17000000</v>
      </c>
    </row>
    <row r="14" spans="1:7" s="12" customFormat="1" ht="24" customHeight="1" x14ac:dyDescent="0.3">
      <c r="A14" s="28">
        <v>57</v>
      </c>
      <c r="B14" s="29" t="s">
        <v>44</v>
      </c>
      <c r="C14" s="13">
        <v>1</v>
      </c>
      <c r="D14" s="9">
        <v>15000000</v>
      </c>
      <c r="E14" s="10">
        <f t="shared" si="0"/>
        <v>15000000</v>
      </c>
    </row>
    <row r="15" spans="1:7" s="12" customFormat="1" ht="24" customHeight="1" x14ac:dyDescent="0.3">
      <c r="A15" s="28">
        <v>58</v>
      </c>
      <c r="B15" s="29" t="s">
        <v>45</v>
      </c>
      <c r="C15" s="13">
        <v>3</v>
      </c>
      <c r="D15" s="9">
        <v>1000000</v>
      </c>
      <c r="E15" s="10">
        <f t="shared" si="0"/>
        <v>3000000</v>
      </c>
    </row>
    <row r="16" spans="1:7" s="12" customFormat="1" ht="24" customHeight="1" x14ac:dyDescent="0.3">
      <c r="A16" s="28">
        <v>58</v>
      </c>
      <c r="B16" s="29" t="s">
        <v>46</v>
      </c>
      <c r="C16" s="13">
        <v>1</v>
      </c>
      <c r="D16" s="9">
        <v>2000000</v>
      </c>
      <c r="E16" s="10">
        <f t="shared" si="0"/>
        <v>2000000</v>
      </c>
    </row>
    <row r="17" spans="1:5" s="12" customFormat="1" ht="24" customHeight="1" x14ac:dyDescent="0.3">
      <c r="A17" s="28">
        <v>59</v>
      </c>
      <c r="B17" s="29" t="s">
        <v>47</v>
      </c>
      <c r="C17" s="13">
        <v>0</v>
      </c>
      <c r="D17" s="9"/>
      <c r="E17" s="10">
        <f t="shared" si="0"/>
        <v>0</v>
      </c>
    </row>
    <row r="18" spans="1:5" s="12" customFormat="1" ht="24" customHeight="1" x14ac:dyDescent="0.3">
      <c r="A18" s="28">
        <v>59</v>
      </c>
      <c r="B18" s="29" t="s">
        <v>48</v>
      </c>
      <c r="C18" s="13">
        <v>100</v>
      </c>
      <c r="D18" s="40">
        <v>15000000</v>
      </c>
      <c r="E18" s="10">
        <v>1000000000</v>
      </c>
    </row>
    <row r="19" spans="1:5" s="12" customFormat="1" ht="24" customHeight="1" x14ac:dyDescent="0.3">
      <c r="A19" s="28">
        <v>59</v>
      </c>
      <c r="B19" s="29" t="s">
        <v>49</v>
      </c>
      <c r="C19" s="13">
        <v>68</v>
      </c>
      <c r="D19" s="9">
        <v>5000000</v>
      </c>
      <c r="E19" s="10">
        <f t="shared" si="0"/>
        <v>340000000</v>
      </c>
    </row>
    <row r="20" spans="1:5" s="12" customFormat="1" ht="24" customHeight="1" x14ac:dyDescent="0.3">
      <c r="A20" s="28">
        <v>59</v>
      </c>
      <c r="B20" s="29" t="s">
        <v>50</v>
      </c>
      <c r="C20" s="13">
        <v>1</v>
      </c>
      <c r="D20" s="9">
        <v>10000000</v>
      </c>
      <c r="E20" s="10">
        <f t="shared" si="0"/>
        <v>10000000</v>
      </c>
    </row>
    <row r="21" spans="1:5" s="12" customFormat="1" ht="24" customHeight="1" x14ac:dyDescent="0.3">
      <c r="A21" s="28">
        <v>60</v>
      </c>
      <c r="B21" s="29" t="s">
        <v>51</v>
      </c>
      <c r="C21" s="13">
        <v>490</v>
      </c>
      <c r="D21" s="9">
        <v>90000</v>
      </c>
      <c r="E21" s="10">
        <f t="shared" si="0"/>
        <v>44100000</v>
      </c>
    </row>
    <row r="22" spans="1:5" s="12" customFormat="1" ht="24" customHeight="1" x14ac:dyDescent="0.3">
      <c r="A22" s="28">
        <v>61</v>
      </c>
      <c r="B22" s="29" t="s">
        <v>52</v>
      </c>
      <c r="C22" s="13">
        <v>0</v>
      </c>
      <c r="D22" s="9">
        <v>90000</v>
      </c>
      <c r="E22" s="10">
        <f t="shared" si="0"/>
        <v>0</v>
      </c>
    </row>
    <row r="23" spans="1:5" s="12" customFormat="1" ht="24" customHeight="1" x14ac:dyDescent="0.3">
      <c r="A23" s="28">
        <v>62</v>
      </c>
      <c r="B23" s="29" t="s">
        <v>53</v>
      </c>
      <c r="C23" s="13">
        <v>5</v>
      </c>
      <c r="D23" s="9">
        <v>500000</v>
      </c>
      <c r="E23" s="10">
        <f t="shared" si="0"/>
        <v>2500000</v>
      </c>
    </row>
    <row r="24" spans="1:5" s="12" customFormat="1" ht="24" customHeight="1" thickBot="1" x14ac:dyDescent="0.35">
      <c r="A24" s="30">
        <v>63</v>
      </c>
      <c r="B24" s="31" t="s">
        <v>54</v>
      </c>
      <c r="C24" s="32">
        <v>0</v>
      </c>
      <c r="D24" s="16"/>
      <c r="E24" s="17">
        <f t="shared" si="0"/>
        <v>0</v>
      </c>
    </row>
    <row r="25" spans="1:5" s="12" customFormat="1" ht="24" customHeight="1" thickBot="1" x14ac:dyDescent="0.35">
      <c r="A25" s="30">
        <v>63</v>
      </c>
      <c r="B25" s="29" t="s">
        <v>55</v>
      </c>
      <c r="C25" s="13">
        <v>1204</v>
      </c>
      <c r="D25" s="9">
        <v>60000</v>
      </c>
      <c r="E25" s="41">
        <f t="shared" si="0"/>
        <v>72240000</v>
      </c>
    </row>
    <row r="26" spans="1:5" s="12" customFormat="1" ht="24" customHeight="1" thickBot="1" x14ac:dyDescent="0.35">
      <c r="A26" s="30">
        <v>63</v>
      </c>
      <c r="B26" s="29" t="s">
        <v>56</v>
      </c>
      <c r="C26" s="13">
        <v>3026</v>
      </c>
      <c r="D26" s="9">
        <v>5000</v>
      </c>
      <c r="E26" s="41">
        <f t="shared" si="0"/>
        <v>15130000</v>
      </c>
    </row>
    <row r="27" spans="1:5" s="12" customFormat="1" ht="24" customHeight="1" thickBot="1" x14ac:dyDescent="0.35">
      <c r="A27" s="30">
        <v>63</v>
      </c>
      <c r="B27" s="29" t="s">
        <v>57</v>
      </c>
      <c r="C27" s="13">
        <v>2641</v>
      </c>
      <c r="D27" s="9">
        <v>6000</v>
      </c>
      <c r="E27" s="41">
        <f t="shared" si="0"/>
        <v>15846000</v>
      </c>
    </row>
    <row r="28" spans="1:5" s="12" customFormat="1" ht="24" customHeight="1" thickBot="1" x14ac:dyDescent="0.35">
      <c r="A28" s="30">
        <v>63</v>
      </c>
      <c r="B28" s="29" t="s">
        <v>58</v>
      </c>
      <c r="C28" s="13">
        <v>344</v>
      </c>
      <c r="D28" s="9">
        <v>60000</v>
      </c>
      <c r="E28" s="41">
        <f t="shared" si="0"/>
        <v>20640000</v>
      </c>
    </row>
    <row r="29" spans="1:5" s="12" customFormat="1" ht="24" customHeight="1" x14ac:dyDescent="0.3">
      <c r="A29" s="28">
        <v>64</v>
      </c>
      <c r="B29" s="29" t="s">
        <v>59</v>
      </c>
      <c r="C29" s="13">
        <v>168</v>
      </c>
      <c r="D29" s="9">
        <v>100000</v>
      </c>
      <c r="E29" s="41">
        <f t="shared" si="0"/>
        <v>16800000</v>
      </c>
    </row>
    <row r="30" spans="1:5" s="12" customFormat="1" ht="24" customHeight="1" x14ac:dyDescent="0.3">
      <c r="A30" s="28">
        <v>65</v>
      </c>
      <c r="B30" s="29" t="s">
        <v>60</v>
      </c>
      <c r="C30" s="13">
        <v>261</v>
      </c>
      <c r="D30" s="9">
        <v>10000</v>
      </c>
      <c r="E30" s="41">
        <f t="shared" si="0"/>
        <v>2610000</v>
      </c>
    </row>
    <row r="31" spans="1:5" s="12" customFormat="1" ht="24" customHeight="1" x14ac:dyDescent="0.3">
      <c r="A31" s="28">
        <v>15</v>
      </c>
      <c r="B31" s="29" t="s">
        <v>61</v>
      </c>
      <c r="C31" s="13">
        <v>1145</v>
      </c>
      <c r="D31" s="9">
        <v>20000</v>
      </c>
      <c r="E31" s="41">
        <f t="shared" si="0"/>
        <v>22900000</v>
      </c>
    </row>
    <row r="32" spans="1:5" s="12" customFormat="1" ht="24" customHeight="1" x14ac:dyDescent="0.3">
      <c r="A32" s="28">
        <v>67</v>
      </c>
      <c r="B32" s="29" t="s">
        <v>62</v>
      </c>
      <c r="C32" s="13">
        <v>456</v>
      </c>
      <c r="D32" s="9">
        <v>200000</v>
      </c>
      <c r="E32" s="41">
        <f t="shared" si="0"/>
        <v>91200000</v>
      </c>
    </row>
    <row r="33" spans="1:7" s="12" customFormat="1" ht="24" customHeight="1" x14ac:dyDescent="0.3">
      <c r="A33" s="28">
        <v>68</v>
      </c>
      <c r="B33" s="29" t="s">
        <v>63</v>
      </c>
      <c r="C33" s="13">
        <v>147</v>
      </c>
      <c r="D33" s="9">
        <v>300000</v>
      </c>
      <c r="E33" s="41">
        <f t="shared" si="0"/>
        <v>44100000</v>
      </c>
    </row>
    <row r="34" spans="1:7" s="12" customFormat="1" ht="24" customHeight="1" x14ac:dyDescent="0.3">
      <c r="A34" s="28">
        <v>69</v>
      </c>
      <c r="B34" s="29" t="s">
        <v>64</v>
      </c>
      <c r="C34" s="13">
        <v>5</v>
      </c>
      <c r="D34" s="9">
        <v>1000000</v>
      </c>
      <c r="E34" s="41">
        <f t="shared" si="0"/>
        <v>5000000</v>
      </c>
    </row>
    <row r="35" spans="1:7" s="12" customFormat="1" ht="24" customHeight="1" x14ac:dyDescent="0.3">
      <c r="A35" s="28">
        <v>70</v>
      </c>
      <c r="B35" s="29" t="s">
        <v>65</v>
      </c>
      <c r="C35" s="13">
        <v>7</v>
      </c>
      <c r="D35" s="9">
        <v>10000000</v>
      </c>
      <c r="E35" s="41">
        <f t="shared" si="0"/>
        <v>70000000</v>
      </c>
    </row>
    <row r="36" spans="1:7" s="12" customFormat="1" ht="24" customHeight="1" x14ac:dyDescent="0.3">
      <c r="A36" s="28">
        <v>71</v>
      </c>
      <c r="B36" s="29" t="s">
        <v>66</v>
      </c>
      <c r="C36" s="13">
        <v>0</v>
      </c>
      <c r="D36" s="9"/>
      <c r="E36" s="41">
        <f t="shared" si="0"/>
        <v>0</v>
      </c>
    </row>
    <row r="37" spans="1:7" s="12" customFormat="1" ht="24" customHeight="1" x14ac:dyDescent="0.3">
      <c r="A37" s="28">
        <v>71</v>
      </c>
      <c r="B37" s="29" t="s">
        <v>67</v>
      </c>
      <c r="C37" s="13">
        <v>2</v>
      </c>
      <c r="D37" s="9">
        <v>26000000</v>
      </c>
      <c r="E37" s="41">
        <f t="shared" si="0"/>
        <v>52000000</v>
      </c>
    </row>
    <row r="38" spans="1:7" s="12" customFormat="1" ht="24" customHeight="1" x14ac:dyDescent="0.3">
      <c r="A38" s="28">
        <v>71</v>
      </c>
      <c r="B38" s="29" t="s">
        <v>68</v>
      </c>
      <c r="C38" s="13">
        <v>1</v>
      </c>
      <c r="D38" s="9">
        <v>15400000</v>
      </c>
      <c r="E38" s="41">
        <f t="shared" si="0"/>
        <v>15400000</v>
      </c>
    </row>
    <row r="39" spans="1:7" s="12" customFormat="1" ht="24" customHeight="1" x14ac:dyDescent="0.3">
      <c r="A39" s="28">
        <v>71</v>
      </c>
      <c r="B39" s="29" t="s">
        <v>69</v>
      </c>
      <c r="C39" s="13">
        <v>2</v>
      </c>
      <c r="D39" s="9">
        <v>13000000</v>
      </c>
      <c r="E39" s="41">
        <f t="shared" si="0"/>
        <v>26000000</v>
      </c>
    </row>
    <row r="40" spans="1:7" s="12" customFormat="1" ht="24" customHeight="1" x14ac:dyDescent="0.3">
      <c r="A40" s="28">
        <v>71</v>
      </c>
      <c r="B40" s="42" t="s">
        <v>70</v>
      </c>
      <c r="C40" s="43">
        <v>4</v>
      </c>
      <c r="D40" s="14">
        <v>10000000</v>
      </c>
      <c r="E40" s="44">
        <f t="shared" si="0"/>
        <v>40000000</v>
      </c>
    </row>
    <row r="41" spans="1:7" s="12" customFormat="1" ht="24" customHeight="1" x14ac:dyDescent="0.3">
      <c r="A41" s="28">
        <v>71</v>
      </c>
      <c r="B41" s="29" t="s">
        <v>71</v>
      </c>
      <c r="C41" s="13">
        <v>4</v>
      </c>
      <c r="D41" s="9">
        <v>8000000</v>
      </c>
      <c r="E41" s="41">
        <f t="shared" si="0"/>
        <v>32000000</v>
      </c>
    </row>
    <row r="42" spans="1:7" s="12" customFormat="1" ht="24" customHeight="1" x14ac:dyDescent="0.3">
      <c r="A42" s="28">
        <v>72</v>
      </c>
      <c r="B42" s="29" t="s">
        <v>72</v>
      </c>
      <c r="C42" s="13">
        <v>100</v>
      </c>
      <c r="D42" s="9">
        <v>300000</v>
      </c>
      <c r="E42" s="41">
        <f t="shared" si="0"/>
        <v>30000000</v>
      </c>
    </row>
    <row r="43" spans="1:7" s="12" customFormat="1" ht="27.75" customHeight="1" x14ac:dyDescent="0.3">
      <c r="A43" s="28">
        <v>73</v>
      </c>
      <c r="B43" s="29" t="s">
        <v>73</v>
      </c>
      <c r="C43" s="13">
        <v>0</v>
      </c>
      <c r="D43" s="9"/>
      <c r="E43" s="41">
        <f t="shared" si="0"/>
        <v>0</v>
      </c>
    </row>
    <row r="44" spans="1:7" s="12" customFormat="1" ht="28.5" customHeight="1" x14ac:dyDescent="0.3">
      <c r="A44" s="28">
        <v>73</v>
      </c>
      <c r="B44" s="29" t="s">
        <v>74</v>
      </c>
      <c r="C44" s="13">
        <v>30</v>
      </c>
      <c r="D44" s="9">
        <v>6000000</v>
      </c>
      <c r="E44" s="41">
        <f t="shared" si="0"/>
        <v>180000000</v>
      </c>
    </row>
    <row r="45" spans="1:7" s="12" customFormat="1" ht="28.5" customHeight="1" x14ac:dyDescent="0.3">
      <c r="A45" s="28">
        <v>73</v>
      </c>
      <c r="B45" s="29" t="s">
        <v>75</v>
      </c>
      <c r="C45" s="13">
        <v>30</v>
      </c>
      <c r="D45" s="9">
        <v>11000000</v>
      </c>
      <c r="E45" s="41">
        <f t="shared" si="0"/>
        <v>330000000</v>
      </c>
      <c r="G45" s="39">
        <f>SUM(E43:E51)</f>
        <v>1564400000</v>
      </c>
    </row>
    <row r="46" spans="1:7" s="12" customFormat="1" ht="28.5" customHeight="1" x14ac:dyDescent="0.3">
      <c r="A46" s="28">
        <v>73</v>
      </c>
      <c r="B46" s="29" t="s">
        <v>76</v>
      </c>
      <c r="C46" s="13">
        <v>50</v>
      </c>
      <c r="D46" s="9">
        <v>4000000</v>
      </c>
      <c r="E46" s="41">
        <f t="shared" si="0"/>
        <v>200000000</v>
      </c>
      <c r="G46" s="39">
        <f>SUM(E52:E63)</f>
        <v>1026760000</v>
      </c>
    </row>
    <row r="47" spans="1:7" s="12" customFormat="1" ht="28.5" customHeight="1" x14ac:dyDescent="0.3">
      <c r="A47" s="28">
        <v>73</v>
      </c>
      <c r="B47" s="29" t="s">
        <v>77</v>
      </c>
      <c r="C47" s="13">
        <v>30</v>
      </c>
      <c r="D47" s="9">
        <v>150000000</v>
      </c>
      <c r="E47" s="41">
        <v>150000000</v>
      </c>
      <c r="G47" s="39">
        <f>+G46+G45</f>
        <v>2591160000</v>
      </c>
    </row>
    <row r="48" spans="1:7" s="12" customFormat="1" ht="28.5" customHeight="1" x14ac:dyDescent="0.3">
      <c r="A48" s="28">
        <v>73</v>
      </c>
      <c r="B48" s="29" t="s">
        <v>78</v>
      </c>
      <c r="C48" s="13">
        <v>30</v>
      </c>
      <c r="D48" s="9">
        <v>150000000</v>
      </c>
      <c r="E48" s="41">
        <v>150000000</v>
      </c>
    </row>
    <row r="49" spans="1:5" s="12" customFormat="1" ht="28.5" customHeight="1" x14ac:dyDescent="0.3">
      <c r="A49" s="28">
        <v>73</v>
      </c>
      <c r="B49" s="29" t="s">
        <v>79</v>
      </c>
      <c r="C49" s="13">
        <v>600</v>
      </c>
      <c r="D49" s="9">
        <v>80000</v>
      </c>
      <c r="E49" s="41">
        <f t="shared" si="0"/>
        <v>48000000</v>
      </c>
    </row>
    <row r="50" spans="1:5" s="12" customFormat="1" ht="28.5" customHeight="1" x14ac:dyDescent="0.3">
      <c r="A50" s="28">
        <v>73</v>
      </c>
      <c r="B50" s="29" t="s">
        <v>80</v>
      </c>
      <c r="C50" s="13">
        <v>51</v>
      </c>
      <c r="D50" s="9">
        <v>4000000</v>
      </c>
      <c r="E50" s="41">
        <f t="shared" si="0"/>
        <v>204000000</v>
      </c>
    </row>
    <row r="51" spans="1:5" s="12" customFormat="1" ht="28.5" customHeight="1" x14ac:dyDescent="0.3">
      <c r="A51" s="28">
        <v>73</v>
      </c>
      <c r="B51" s="29" t="s">
        <v>81</v>
      </c>
      <c r="C51" s="13">
        <v>126</v>
      </c>
      <c r="D51" s="9">
        <v>2400000</v>
      </c>
      <c r="E51" s="41">
        <f t="shared" si="0"/>
        <v>302400000</v>
      </c>
    </row>
    <row r="52" spans="1:5" s="12" customFormat="1" ht="24" customHeight="1" x14ac:dyDescent="0.3">
      <c r="A52" s="28">
        <v>74</v>
      </c>
      <c r="B52" s="29" t="s">
        <v>82</v>
      </c>
      <c r="C52" s="13">
        <v>0</v>
      </c>
      <c r="D52" s="9"/>
      <c r="E52" s="10">
        <f t="shared" si="0"/>
        <v>0</v>
      </c>
    </row>
    <row r="53" spans="1:5" s="12" customFormat="1" ht="24" customHeight="1" x14ac:dyDescent="0.3">
      <c r="A53" s="28">
        <v>74</v>
      </c>
      <c r="B53" s="29" t="s">
        <v>83</v>
      </c>
      <c r="C53" s="13">
        <v>1</v>
      </c>
      <c r="D53" s="9">
        <v>300000000</v>
      </c>
      <c r="E53" s="10">
        <f t="shared" si="0"/>
        <v>300000000</v>
      </c>
    </row>
    <row r="54" spans="1:5" s="12" customFormat="1" ht="24" customHeight="1" x14ac:dyDescent="0.3">
      <c r="A54" s="28">
        <v>74</v>
      </c>
      <c r="B54" s="42" t="s">
        <v>84</v>
      </c>
      <c r="C54" s="43">
        <v>3000</v>
      </c>
      <c r="D54" s="14">
        <v>60000</v>
      </c>
      <c r="E54" s="15">
        <f>D54*C54</f>
        <v>180000000</v>
      </c>
    </row>
    <row r="55" spans="1:5" s="12" customFormat="1" ht="25.5" customHeight="1" x14ac:dyDescent="0.3">
      <c r="A55" s="28">
        <v>74</v>
      </c>
      <c r="B55" s="29" t="s">
        <v>85</v>
      </c>
      <c r="C55" s="13">
        <v>1</v>
      </c>
      <c r="D55" s="9">
        <v>150000</v>
      </c>
      <c r="E55" s="10">
        <f t="shared" si="0"/>
        <v>150000</v>
      </c>
    </row>
    <row r="56" spans="1:5" s="12" customFormat="1" ht="24" customHeight="1" x14ac:dyDescent="0.3">
      <c r="A56" s="28">
        <v>75</v>
      </c>
      <c r="B56" s="29" t="s">
        <v>86</v>
      </c>
      <c r="C56" s="13">
        <v>343</v>
      </c>
      <c r="D56" s="9">
        <v>935000.00000000012</v>
      </c>
      <c r="E56" s="10">
        <f t="shared" si="0"/>
        <v>320705000.00000006</v>
      </c>
    </row>
    <row r="57" spans="1:5" s="12" customFormat="1" ht="24" customHeight="1" x14ac:dyDescent="0.3">
      <c r="A57" s="28">
        <v>75</v>
      </c>
      <c r="B57" s="29" t="s">
        <v>87</v>
      </c>
      <c r="C57" s="13">
        <v>10</v>
      </c>
      <c r="D57" s="9">
        <v>950000</v>
      </c>
      <c r="E57" s="10">
        <f t="shared" si="0"/>
        <v>9500000</v>
      </c>
    </row>
    <row r="58" spans="1:5" s="12" customFormat="1" ht="24" customHeight="1" x14ac:dyDescent="0.3">
      <c r="A58" s="28">
        <v>76</v>
      </c>
      <c r="B58" s="29" t="s">
        <v>88</v>
      </c>
      <c r="C58" s="13">
        <v>76</v>
      </c>
      <c r="D58" s="9">
        <v>1540000</v>
      </c>
      <c r="E58" s="10">
        <f t="shared" si="0"/>
        <v>117040000</v>
      </c>
    </row>
    <row r="59" spans="1:5" s="12" customFormat="1" ht="24" customHeight="1" x14ac:dyDescent="0.3">
      <c r="A59" s="28">
        <v>77</v>
      </c>
      <c r="B59" s="29" t="s">
        <v>89</v>
      </c>
      <c r="C59" s="13">
        <v>5</v>
      </c>
      <c r="D59" s="9">
        <v>1540000</v>
      </c>
      <c r="E59" s="10">
        <f t="shared" si="0"/>
        <v>7700000</v>
      </c>
    </row>
    <row r="60" spans="1:5" s="12" customFormat="1" ht="24" customHeight="1" x14ac:dyDescent="0.3">
      <c r="A60" s="28">
        <v>77</v>
      </c>
      <c r="B60" s="29" t="s">
        <v>90</v>
      </c>
      <c r="C60" s="13">
        <v>20</v>
      </c>
      <c r="D60" s="9">
        <v>150000</v>
      </c>
      <c r="E60" s="10">
        <f t="shared" si="0"/>
        <v>3000000</v>
      </c>
    </row>
    <row r="61" spans="1:5" s="12" customFormat="1" ht="24" customHeight="1" x14ac:dyDescent="0.3">
      <c r="A61" s="28">
        <v>77</v>
      </c>
      <c r="B61" s="29" t="s">
        <v>91</v>
      </c>
      <c r="C61" s="13">
        <v>2</v>
      </c>
      <c r="D61" s="9">
        <v>150000</v>
      </c>
      <c r="E61" s="10">
        <f>D61*C61</f>
        <v>300000</v>
      </c>
    </row>
    <row r="62" spans="1:5" s="12" customFormat="1" ht="24" customHeight="1" x14ac:dyDescent="0.3">
      <c r="A62" s="28">
        <v>77</v>
      </c>
      <c r="B62" s="29" t="s">
        <v>92</v>
      </c>
      <c r="C62" s="13">
        <v>16</v>
      </c>
      <c r="D62" s="9">
        <v>150000</v>
      </c>
      <c r="E62" s="10">
        <f t="shared" si="0"/>
        <v>2400000</v>
      </c>
    </row>
    <row r="63" spans="1:5" s="12" customFormat="1" ht="24" customHeight="1" x14ac:dyDescent="0.3">
      <c r="A63" s="28">
        <v>77</v>
      </c>
      <c r="B63" s="29" t="s">
        <v>93</v>
      </c>
      <c r="C63" s="13">
        <v>521</v>
      </c>
      <c r="D63" s="9">
        <v>165000</v>
      </c>
      <c r="E63" s="10">
        <f t="shared" si="0"/>
        <v>85965000</v>
      </c>
    </row>
    <row r="64" spans="1:5" x14ac:dyDescent="0.3">
      <c r="C64" s="21"/>
      <c r="D64" s="21"/>
      <c r="E64" s="21"/>
    </row>
  </sheetData>
  <printOptions horizontalCentered="1"/>
  <pageMargins left="0.15748031496062992" right="0" top="0.31496062992125984" bottom="0.15748031496062992" header="0.15748031496062992" footer="0.15748031496062992"/>
  <pageSetup paperSize="9" scale="98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  <rowBreaks count="1" manualBreakCount="1">
    <brk id="63" max="143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13"/>
  </sheetPr>
  <dimension ref="A1:F48"/>
  <sheetViews>
    <sheetView view="pageBreakPreview" zoomScale="90" zoomScaleNormal="70" zoomScaleSheetLayoutView="90" workbookViewId="0">
      <selection activeCell="A43" sqref="A1:XFD43"/>
    </sheetView>
  </sheetViews>
  <sheetFormatPr baseColWidth="10" defaultColWidth="11.3984375" defaultRowHeight="15.5" outlineLevelCol="1" x14ac:dyDescent="0.3"/>
  <cols>
    <col min="1" max="1" width="5.09765625" style="25" customWidth="1"/>
    <col min="2" max="2" width="65.09765625" style="26" customWidth="1"/>
    <col min="3" max="3" width="4.59765625" style="2" customWidth="1"/>
    <col min="4" max="4" width="21.8984375" style="2" hidden="1" customWidth="1" outlineLevel="1"/>
    <col min="5" max="5" width="24.69921875" style="2" customWidth="1" collapsed="1"/>
    <col min="6" max="6" width="21.69921875" style="3" customWidth="1"/>
    <col min="7" max="16384" width="11.3984375" style="2"/>
  </cols>
  <sheetData>
    <row r="1" spans="1:6" s="12" customFormat="1" ht="23.25" customHeight="1" x14ac:dyDescent="0.3">
      <c r="A1" s="28">
        <v>78</v>
      </c>
      <c r="B1" s="29" t="s">
        <v>94</v>
      </c>
      <c r="C1" s="13">
        <v>20</v>
      </c>
      <c r="D1" s="9">
        <v>4000000</v>
      </c>
      <c r="E1" s="10">
        <f>D1*C1</f>
        <v>80000000</v>
      </c>
      <c r="F1" s="11"/>
    </row>
    <row r="2" spans="1:6" s="12" customFormat="1" ht="23.25" customHeight="1" x14ac:dyDescent="0.3">
      <c r="A2" s="28">
        <v>79</v>
      </c>
      <c r="B2" s="29" t="s">
        <v>95</v>
      </c>
      <c r="C2" s="13">
        <v>141</v>
      </c>
      <c r="D2" s="9">
        <v>290000</v>
      </c>
      <c r="E2" s="10">
        <f>+D2*C2</f>
        <v>40890000</v>
      </c>
      <c r="F2" s="11"/>
    </row>
    <row r="3" spans="1:6" s="12" customFormat="1" ht="23.25" customHeight="1" x14ac:dyDescent="0.3">
      <c r="A3" s="28">
        <v>79</v>
      </c>
      <c r="B3" s="29" t="s">
        <v>96</v>
      </c>
      <c r="C3" s="13">
        <v>10</v>
      </c>
      <c r="D3" s="9">
        <v>80000</v>
      </c>
      <c r="E3" s="10">
        <f>+D3*C3</f>
        <v>800000</v>
      </c>
      <c r="F3" s="11"/>
    </row>
    <row r="4" spans="1:6" s="12" customFormat="1" ht="23.25" customHeight="1" x14ac:dyDescent="0.3">
      <c r="A4" s="28">
        <v>80</v>
      </c>
      <c r="B4" s="29" t="s">
        <v>97</v>
      </c>
      <c r="C4" s="13">
        <v>89</v>
      </c>
      <c r="D4" s="9">
        <v>750000</v>
      </c>
      <c r="E4" s="10">
        <f>+D4*C4</f>
        <v>66750000</v>
      </c>
      <c r="F4" s="11"/>
    </row>
    <row r="5" spans="1:6" s="12" customFormat="1" ht="23.25" customHeight="1" x14ac:dyDescent="0.3">
      <c r="A5" s="28">
        <v>81</v>
      </c>
      <c r="B5" s="29" t="s">
        <v>98</v>
      </c>
      <c r="C5" s="13">
        <v>15</v>
      </c>
      <c r="D5" s="9">
        <v>300000</v>
      </c>
      <c r="E5" s="10">
        <f t="shared" ref="E5:E20" si="0">+D5*C5</f>
        <v>4500000</v>
      </c>
      <c r="F5" s="11"/>
    </row>
    <row r="6" spans="1:6" s="12" customFormat="1" ht="23.25" customHeight="1" x14ac:dyDescent="0.3">
      <c r="A6" s="28">
        <v>82</v>
      </c>
      <c r="B6" s="29" t="s">
        <v>99</v>
      </c>
      <c r="C6" s="13">
        <v>50</v>
      </c>
      <c r="D6" s="9">
        <v>400000</v>
      </c>
      <c r="E6" s="10">
        <f>+D6*C6</f>
        <v>20000000</v>
      </c>
      <c r="F6" s="11"/>
    </row>
    <row r="7" spans="1:6" s="12" customFormat="1" ht="23.25" customHeight="1" x14ac:dyDescent="0.3">
      <c r="A7" s="28">
        <v>83</v>
      </c>
      <c r="B7" s="29" t="s">
        <v>100</v>
      </c>
      <c r="C7" s="13">
        <v>18</v>
      </c>
      <c r="D7" s="9">
        <v>400000</v>
      </c>
      <c r="E7" s="10">
        <f t="shared" si="0"/>
        <v>7200000</v>
      </c>
      <c r="F7" s="11"/>
    </row>
    <row r="8" spans="1:6" s="12" customFormat="1" ht="23.25" customHeight="1" x14ac:dyDescent="0.3">
      <c r="A8" s="28">
        <v>84</v>
      </c>
      <c r="B8" s="29" t="s">
        <v>101</v>
      </c>
      <c r="C8" s="13">
        <v>23</v>
      </c>
      <c r="D8" s="9">
        <v>6000000</v>
      </c>
      <c r="E8" s="10">
        <f>+D8*C8</f>
        <v>138000000</v>
      </c>
      <c r="F8" s="11"/>
    </row>
    <row r="9" spans="1:6" s="46" customFormat="1" ht="23.25" customHeight="1" x14ac:dyDescent="0.3">
      <c r="A9" s="28">
        <v>85</v>
      </c>
      <c r="B9" s="29" t="s">
        <v>102</v>
      </c>
      <c r="C9" s="13">
        <v>25</v>
      </c>
      <c r="D9" s="9">
        <v>350000</v>
      </c>
      <c r="E9" s="10">
        <f t="shared" si="0"/>
        <v>8750000</v>
      </c>
      <c r="F9" s="45"/>
    </row>
    <row r="10" spans="1:6" s="12" customFormat="1" ht="23.25" customHeight="1" x14ac:dyDescent="0.3">
      <c r="A10" s="28">
        <v>86</v>
      </c>
      <c r="B10" s="29" t="s">
        <v>103</v>
      </c>
      <c r="C10" s="13">
        <v>27</v>
      </c>
      <c r="D10" s="9">
        <v>350000</v>
      </c>
      <c r="E10" s="10">
        <f t="shared" si="0"/>
        <v>9450000</v>
      </c>
      <c r="F10" s="11"/>
    </row>
    <row r="11" spans="1:6" s="12" customFormat="1" ht="23.25" customHeight="1" x14ac:dyDescent="0.3">
      <c r="A11" s="28">
        <v>87</v>
      </c>
      <c r="B11" s="47" t="s">
        <v>104</v>
      </c>
      <c r="C11" s="13">
        <v>11</v>
      </c>
      <c r="D11" s="9">
        <v>10000000</v>
      </c>
      <c r="E11" s="10">
        <f>+D11*C11</f>
        <v>110000000</v>
      </c>
      <c r="F11" s="11"/>
    </row>
    <row r="12" spans="1:6" s="12" customFormat="1" ht="23.25" customHeight="1" x14ac:dyDescent="0.3">
      <c r="A12" s="28">
        <v>87</v>
      </c>
      <c r="B12" s="29" t="s">
        <v>105</v>
      </c>
      <c r="C12" s="13">
        <v>6</v>
      </c>
      <c r="D12" s="9">
        <v>600000</v>
      </c>
      <c r="E12" s="10">
        <f>+D12*C12</f>
        <v>3600000</v>
      </c>
      <c r="F12" s="11"/>
    </row>
    <row r="13" spans="1:6" s="51" customFormat="1" ht="23.25" customHeight="1" x14ac:dyDescent="0.3">
      <c r="A13" s="48">
        <v>88</v>
      </c>
      <c r="B13" s="49" t="s">
        <v>106</v>
      </c>
      <c r="C13" s="13">
        <v>12</v>
      </c>
      <c r="D13" s="9">
        <v>110000000</v>
      </c>
      <c r="E13" s="10">
        <f>+D13*C13</f>
        <v>1320000000</v>
      </c>
      <c r="F13" s="50"/>
    </row>
    <row r="14" spans="1:6" s="12" customFormat="1" ht="23.25" customHeight="1" x14ac:dyDescent="0.3">
      <c r="A14" s="28">
        <v>89</v>
      </c>
      <c r="B14" s="52" t="s">
        <v>107</v>
      </c>
      <c r="C14" s="13">
        <v>5</v>
      </c>
      <c r="D14" s="9">
        <v>110000000</v>
      </c>
      <c r="E14" s="10">
        <f>+D14*C14</f>
        <v>550000000</v>
      </c>
      <c r="F14" s="11"/>
    </row>
    <row r="15" spans="1:6" s="12" customFormat="1" ht="36.75" customHeight="1" x14ac:dyDescent="0.3">
      <c r="A15" s="48">
        <v>90</v>
      </c>
      <c r="B15" s="52" t="s">
        <v>108</v>
      </c>
      <c r="C15" s="13">
        <v>10</v>
      </c>
      <c r="D15" s="9">
        <v>30000000</v>
      </c>
      <c r="E15" s="10">
        <f t="shared" si="0"/>
        <v>300000000</v>
      </c>
      <c r="F15" s="11"/>
    </row>
    <row r="16" spans="1:6" s="12" customFormat="1" ht="23.25" customHeight="1" x14ac:dyDescent="0.3">
      <c r="A16" s="48">
        <v>91</v>
      </c>
      <c r="B16" s="52" t="s">
        <v>109</v>
      </c>
      <c r="C16" s="13">
        <v>0</v>
      </c>
      <c r="D16" s="9"/>
      <c r="E16" s="10">
        <f t="shared" si="0"/>
        <v>0</v>
      </c>
      <c r="F16" s="11"/>
    </row>
    <row r="17" spans="1:6" s="12" customFormat="1" ht="23.25" customHeight="1" x14ac:dyDescent="0.3">
      <c r="A17" s="48">
        <v>91</v>
      </c>
      <c r="B17" s="52" t="s">
        <v>110</v>
      </c>
      <c r="C17" s="13">
        <v>112</v>
      </c>
      <c r="D17" s="9">
        <v>275000</v>
      </c>
      <c r="E17" s="10">
        <f t="shared" si="0"/>
        <v>30800000</v>
      </c>
      <c r="F17" s="11">
        <f>SUM(E13:E24)</f>
        <v>2286300000</v>
      </c>
    </row>
    <row r="18" spans="1:6" s="12" customFormat="1" ht="23.25" customHeight="1" x14ac:dyDescent="0.3">
      <c r="A18" s="48">
        <v>91</v>
      </c>
      <c r="B18" s="52" t="s">
        <v>111</v>
      </c>
      <c r="C18" s="13">
        <v>32</v>
      </c>
      <c r="D18" s="9">
        <v>605000</v>
      </c>
      <c r="E18" s="10">
        <f t="shared" si="0"/>
        <v>19360000</v>
      </c>
      <c r="F18" s="11">
        <f>SUM(E25:E43)</f>
        <v>332200000</v>
      </c>
    </row>
    <row r="19" spans="1:6" s="12" customFormat="1" ht="23.25" customHeight="1" x14ac:dyDescent="0.3">
      <c r="A19" s="48">
        <v>91</v>
      </c>
      <c r="B19" s="52" t="s">
        <v>112</v>
      </c>
      <c r="C19" s="13">
        <v>91</v>
      </c>
      <c r="D19" s="9">
        <v>60000</v>
      </c>
      <c r="E19" s="10">
        <f t="shared" si="0"/>
        <v>5460000</v>
      </c>
      <c r="F19" s="11">
        <f>+F17+F18</f>
        <v>2618500000</v>
      </c>
    </row>
    <row r="20" spans="1:6" s="12" customFormat="1" ht="23.25" customHeight="1" x14ac:dyDescent="0.3">
      <c r="A20" s="48">
        <v>91</v>
      </c>
      <c r="B20" s="52" t="s">
        <v>113</v>
      </c>
      <c r="C20" s="13">
        <v>158</v>
      </c>
      <c r="D20" s="9">
        <v>60000</v>
      </c>
      <c r="E20" s="10">
        <f t="shared" si="0"/>
        <v>9480000</v>
      </c>
      <c r="F20" s="11"/>
    </row>
    <row r="21" spans="1:6" s="12" customFormat="1" ht="29.25" customHeight="1" x14ac:dyDescent="0.3">
      <c r="A21" s="48">
        <v>91</v>
      </c>
      <c r="B21" s="53" t="s">
        <v>114</v>
      </c>
      <c r="C21" s="43">
        <v>92</v>
      </c>
      <c r="D21" s="44">
        <v>400000</v>
      </c>
      <c r="E21" s="15">
        <f>+D21*C21</f>
        <v>36800000</v>
      </c>
      <c r="F21" s="11"/>
    </row>
    <row r="22" spans="1:6" s="12" customFormat="1" ht="29.25" customHeight="1" x14ac:dyDescent="0.3">
      <c r="A22" s="48">
        <v>91</v>
      </c>
      <c r="B22" s="52" t="s">
        <v>115</v>
      </c>
      <c r="C22" s="13">
        <v>28</v>
      </c>
      <c r="D22" s="41">
        <v>400000</v>
      </c>
      <c r="E22" s="10">
        <f>+D22*C22</f>
        <v>11200000</v>
      </c>
      <c r="F22" s="11"/>
    </row>
    <row r="23" spans="1:6" s="12" customFormat="1" ht="29.25" customHeight="1" x14ac:dyDescent="0.3">
      <c r="A23" s="48">
        <v>91</v>
      </c>
      <c r="B23" s="52" t="s">
        <v>116</v>
      </c>
      <c r="C23" s="13">
        <v>8</v>
      </c>
      <c r="D23" s="41">
        <v>400000</v>
      </c>
      <c r="E23" s="10">
        <f>+D23*C23</f>
        <v>3200000</v>
      </c>
      <c r="F23" s="11"/>
    </row>
    <row r="24" spans="1:6" s="12" customFormat="1" ht="29.25" customHeight="1" thickBot="1" x14ac:dyDescent="0.35">
      <c r="A24" s="48">
        <v>91</v>
      </c>
      <c r="B24" s="31" t="s">
        <v>117</v>
      </c>
      <c r="C24" s="32">
        <v>0</v>
      </c>
      <c r="D24" s="55">
        <v>400000</v>
      </c>
      <c r="E24" s="17">
        <f>+D24*C24</f>
        <v>0</v>
      </c>
      <c r="F24" s="11"/>
    </row>
    <row r="25" spans="1:6" s="12" customFormat="1" ht="29.25" customHeight="1" x14ac:dyDescent="0.3">
      <c r="A25" s="48">
        <v>91</v>
      </c>
      <c r="B25" s="52" t="s">
        <v>118</v>
      </c>
      <c r="C25" s="13">
        <v>3</v>
      </c>
      <c r="D25" s="41">
        <v>400000</v>
      </c>
      <c r="E25" s="10">
        <f>+D25*C25</f>
        <v>1200000</v>
      </c>
      <c r="F25" s="11"/>
    </row>
    <row r="26" spans="1:6" s="12" customFormat="1" ht="29.25" customHeight="1" x14ac:dyDescent="0.3">
      <c r="A26" s="48">
        <v>92</v>
      </c>
      <c r="B26" s="52" t="s">
        <v>119</v>
      </c>
      <c r="C26" s="13">
        <v>0</v>
      </c>
      <c r="D26" s="9"/>
      <c r="E26" s="10">
        <f t="shared" ref="E26" si="1">+D26*C26</f>
        <v>0</v>
      </c>
      <c r="F26" s="11"/>
    </row>
    <row r="27" spans="1:6" s="12" customFormat="1" ht="35.25" customHeight="1" x14ac:dyDescent="0.3">
      <c r="A27" s="48">
        <v>92</v>
      </c>
      <c r="B27" s="52" t="s">
        <v>120</v>
      </c>
      <c r="C27" s="13">
        <v>3</v>
      </c>
      <c r="D27" s="9">
        <v>20000000</v>
      </c>
      <c r="E27" s="10">
        <v>80000000</v>
      </c>
      <c r="F27" s="11"/>
    </row>
    <row r="28" spans="1:6" s="12" customFormat="1" ht="35.25" customHeight="1" x14ac:dyDescent="0.3">
      <c r="A28" s="48">
        <v>92</v>
      </c>
      <c r="B28" s="52" t="s">
        <v>121</v>
      </c>
      <c r="C28" s="13">
        <v>125</v>
      </c>
      <c r="D28" s="9"/>
      <c r="E28" s="10">
        <v>150000000</v>
      </c>
      <c r="F28" s="11"/>
    </row>
    <row r="29" spans="1:6" s="12" customFormat="1" ht="29.25" customHeight="1" x14ac:dyDescent="0.3">
      <c r="A29" s="48">
        <v>92</v>
      </c>
      <c r="B29" s="52" t="s">
        <v>122</v>
      </c>
      <c r="C29" s="13">
        <v>3</v>
      </c>
      <c r="D29" s="9">
        <v>1000000</v>
      </c>
      <c r="E29" s="10">
        <v>4000000</v>
      </c>
      <c r="F29" s="11"/>
    </row>
    <row r="30" spans="1:6" s="12" customFormat="1" ht="29.25" customHeight="1" x14ac:dyDescent="0.3">
      <c r="A30" s="48">
        <v>92</v>
      </c>
      <c r="B30" s="49" t="s">
        <v>123</v>
      </c>
      <c r="C30" s="13">
        <v>5</v>
      </c>
      <c r="D30" s="9">
        <v>3000000</v>
      </c>
      <c r="E30" s="10">
        <v>15000000</v>
      </c>
      <c r="F30" s="11"/>
    </row>
    <row r="31" spans="1:6" s="12" customFormat="1" ht="29.25" customHeight="1" x14ac:dyDescent="0.3">
      <c r="A31" s="48">
        <v>92</v>
      </c>
      <c r="B31" s="49" t="s">
        <v>124</v>
      </c>
      <c r="C31" s="13">
        <v>5</v>
      </c>
      <c r="D31" s="9">
        <v>3000000</v>
      </c>
      <c r="E31" s="10">
        <v>15000000</v>
      </c>
      <c r="F31" s="11"/>
    </row>
    <row r="32" spans="1:6" s="12" customFormat="1" ht="29.25" customHeight="1" x14ac:dyDescent="0.3">
      <c r="A32" s="48">
        <v>92</v>
      </c>
      <c r="B32" s="49" t="s">
        <v>125</v>
      </c>
      <c r="C32" s="13">
        <v>5</v>
      </c>
      <c r="D32" s="9">
        <v>3000000</v>
      </c>
      <c r="E32" s="10">
        <v>15000000</v>
      </c>
      <c r="F32" s="11"/>
    </row>
    <row r="33" spans="1:6" s="12" customFormat="1" ht="29.25" customHeight="1" x14ac:dyDescent="0.3">
      <c r="A33" s="48">
        <v>92</v>
      </c>
      <c r="B33" s="52" t="s">
        <v>126</v>
      </c>
      <c r="C33" s="13">
        <v>7</v>
      </c>
      <c r="D33" s="9">
        <v>3000000</v>
      </c>
      <c r="E33" s="10">
        <v>30000000</v>
      </c>
      <c r="F33" s="11"/>
    </row>
    <row r="34" spans="1:6" s="12" customFormat="1" ht="29.25" customHeight="1" x14ac:dyDescent="0.3">
      <c r="A34" s="48">
        <v>92</v>
      </c>
      <c r="B34" s="29" t="s">
        <v>127</v>
      </c>
      <c r="C34" s="13">
        <v>5</v>
      </c>
      <c r="D34" s="9">
        <v>150000</v>
      </c>
      <c r="E34" s="10">
        <v>750000</v>
      </c>
      <c r="F34" s="11"/>
    </row>
    <row r="35" spans="1:6" s="12" customFormat="1" ht="29.25" customHeight="1" x14ac:dyDescent="0.3">
      <c r="A35" s="48">
        <v>92</v>
      </c>
      <c r="B35" s="52" t="s">
        <v>128</v>
      </c>
      <c r="C35" s="13">
        <v>12</v>
      </c>
      <c r="D35" s="9">
        <v>200000</v>
      </c>
      <c r="E35" s="10">
        <v>3600000</v>
      </c>
      <c r="F35" s="11"/>
    </row>
    <row r="36" spans="1:6" s="12" customFormat="1" ht="29.25" customHeight="1" x14ac:dyDescent="0.3">
      <c r="A36" s="48">
        <v>92</v>
      </c>
      <c r="B36" s="52" t="s">
        <v>129</v>
      </c>
      <c r="C36" s="13">
        <v>0</v>
      </c>
      <c r="D36" s="9">
        <v>1500000</v>
      </c>
      <c r="E36" s="10">
        <f t="shared" ref="E36:E43" si="2">+D36*C36</f>
        <v>0</v>
      </c>
      <c r="F36" s="11"/>
    </row>
    <row r="37" spans="1:6" s="12" customFormat="1" ht="29.25" customHeight="1" x14ac:dyDescent="0.3">
      <c r="A37" s="48">
        <v>92</v>
      </c>
      <c r="B37" s="52" t="s">
        <v>130</v>
      </c>
      <c r="C37" s="13">
        <v>0</v>
      </c>
      <c r="D37" s="9">
        <v>1500000</v>
      </c>
      <c r="E37" s="10">
        <f t="shared" si="2"/>
        <v>0</v>
      </c>
      <c r="F37" s="11"/>
    </row>
    <row r="38" spans="1:6" s="12" customFormat="1" ht="29.25" customHeight="1" x14ac:dyDescent="0.3">
      <c r="A38" s="48">
        <v>92</v>
      </c>
      <c r="B38" s="52" t="s">
        <v>131</v>
      </c>
      <c r="C38" s="13">
        <v>0</v>
      </c>
      <c r="D38" s="9">
        <v>150000</v>
      </c>
      <c r="E38" s="10">
        <f t="shared" si="2"/>
        <v>0</v>
      </c>
      <c r="F38" s="11"/>
    </row>
    <row r="39" spans="1:6" s="12" customFormat="1" ht="29.25" customHeight="1" x14ac:dyDescent="0.3">
      <c r="A39" s="48">
        <v>92</v>
      </c>
      <c r="B39" s="52" t="s">
        <v>132</v>
      </c>
      <c r="C39" s="13">
        <v>0</v>
      </c>
      <c r="D39" s="9">
        <v>300000</v>
      </c>
      <c r="E39" s="10">
        <f t="shared" si="2"/>
        <v>0</v>
      </c>
      <c r="F39" s="11"/>
    </row>
    <row r="40" spans="1:6" s="12" customFormat="1" ht="29.25" customHeight="1" x14ac:dyDescent="0.3">
      <c r="A40" s="48">
        <v>92</v>
      </c>
      <c r="B40" s="52" t="s">
        <v>133</v>
      </c>
      <c r="C40" s="13">
        <v>1</v>
      </c>
      <c r="D40" s="9">
        <v>3000000</v>
      </c>
      <c r="E40" s="10">
        <f t="shared" si="2"/>
        <v>3000000</v>
      </c>
      <c r="F40" s="11"/>
    </row>
    <row r="41" spans="1:6" s="12" customFormat="1" ht="29.25" customHeight="1" x14ac:dyDescent="0.3">
      <c r="A41" s="48">
        <v>92</v>
      </c>
      <c r="B41" s="52" t="s">
        <v>134</v>
      </c>
      <c r="C41" s="13">
        <v>1</v>
      </c>
      <c r="D41" s="9">
        <v>150000</v>
      </c>
      <c r="E41" s="10">
        <f t="shared" si="2"/>
        <v>150000</v>
      </c>
      <c r="F41" s="11"/>
    </row>
    <row r="42" spans="1:6" s="12" customFormat="1" ht="29.25" customHeight="1" x14ac:dyDescent="0.3">
      <c r="A42" s="48">
        <v>92</v>
      </c>
      <c r="B42" s="52" t="s">
        <v>135</v>
      </c>
      <c r="C42" s="13">
        <v>15</v>
      </c>
      <c r="D42" s="9">
        <v>300000</v>
      </c>
      <c r="E42" s="10">
        <f t="shared" si="2"/>
        <v>4500000</v>
      </c>
      <c r="F42" s="11"/>
    </row>
    <row r="43" spans="1:6" s="12" customFormat="1" ht="29.25" customHeight="1" x14ac:dyDescent="0.3">
      <c r="A43" s="48">
        <v>92</v>
      </c>
      <c r="B43" s="52" t="s">
        <v>136</v>
      </c>
      <c r="C43" s="13">
        <v>1</v>
      </c>
      <c r="D43" s="9">
        <v>10000000</v>
      </c>
      <c r="E43" s="10">
        <f t="shared" si="2"/>
        <v>10000000</v>
      </c>
      <c r="F43" s="11"/>
    </row>
    <row r="45" spans="1:6" s="58" customFormat="1" ht="25.5" customHeight="1" x14ac:dyDescent="0.3">
      <c r="A45" s="56"/>
      <c r="B45" s="57"/>
      <c r="E45" s="59"/>
      <c r="F45" s="60"/>
    </row>
    <row r="47" spans="1:6" x14ac:dyDescent="0.3">
      <c r="E47" s="38"/>
    </row>
    <row r="48" spans="1:6" x14ac:dyDescent="0.3">
      <c r="E48" s="38"/>
    </row>
  </sheetData>
  <printOptions horizontalCentered="1"/>
  <pageMargins left="0" right="0" top="0.39370078740157483" bottom="0.15748031496062992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3"/>
  </sheetPr>
  <dimension ref="A1:OYB7"/>
  <sheetViews>
    <sheetView view="pageBreakPreview" zoomScale="80" zoomScaleSheetLayoutView="80" workbookViewId="0">
      <selection sqref="A1:XFD4"/>
    </sheetView>
  </sheetViews>
  <sheetFormatPr baseColWidth="10" defaultRowHeight="15.5" outlineLevelCol="1" x14ac:dyDescent="0.3"/>
  <cols>
    <col min="1" max="1" width="4" style="25" customWidth="1"/>
    <col min="2" max="2" width="50.69921875" style="26" customWidth="1"/>
    <col min="3" max="3" width="8.296875" style="2" customWidth="1"/>
    <col min="4" max="4" width="21.8984375" style="2" customWidth="1" outlineLevel="1"/>
    <col min="5" max="5" width="27" style="2" customWidth="1"/>
    <col min="6" max="7" width="12.3984375" style="34" bestFit="1" customWidth="1"/>
    <col min="8" max="10792" width="11.3984375" style="34"/>
    <col min="10793" max="16384" width="11.3984375" style="2"/>
  </cols>
  <sheetData>
    <row r="1" spans="1:10792" s="54" customFormat="1" ht="37.5" customHeight="1" x14ac:dyDescent="0.3">
      <c r="A1" s="48">
        <v>93</v>
      </c>
      <c r="B1" s="52" t="s">
        <v>137</v>
      </c>
      <c r="C1" s="13">
        <v>8</v>
      </c>
      <c r="D1" s="9">
        <v>6000000</v>
      </c>
      <c r="E1" s="10">
        <f>+D1*C1</f>
        <v>48000000</v>
      </c>
      <c r="F1" s="11"/>
      <c r="G1" s="11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</row>
    <row r="2" spans="1:10792" s="54" customFormat="1" ht="37.5" customHeight="1" x14ac:dyDescent="0.3">
      <c r="A2" s="48">
        <v>94</v>
      </c>
      <c r="B2" s="52" t="s">
        <v>138</v>
      </c>
      <c r="C2" s="13">
        <v>20</v>
      </c>
      <c r="D2" s="9">
        <f>E2/C2</f>
        <v>2250000</v>
      </c>
      <c r="E2" s="10">
        <v>45000000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</row>
    <row r="3" spans="1:10792" s="54" customFormat="1" ht="37.5" customHeight="1" x14ac:dyDescent="0.3">
      <c r="A3" s="48">
        <v>95</v>
      </c>
      <c r="B3" s="52" t="s">
        <v>139</v>
      </c>
      <c r="C3" s="13">
        <v>0</v>
      </c>
      <c r="D3" s="9"/>
      <c r="E3" s="10">
        <f>+D3*C3</f>
        <v>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</row>
    <row r="4" spans="1:10792" s="54" customFormat="1" ht="37.5" customHeight="1" x14ac:dyDescent="0.3">
      <c r="A4" s="48">
        <v>96</v>
      </c>
      <c r="B4" s="52" t="s">
        <v>140</v>
      </c>
      <c r="C4" s="13" t="s">
        <v>141</v>
      </c>
      <c r="D4" s="9"/>
      <c r="E4" s="10">
        <v>5600000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</row>
    <row r="6" spans="1:10792" s="58" customFormat="1" ht="14" x14ac:dyDescent="0.3">
      <c r="A6" s="56"/>
      <c r="B6" s="57"/>
      <c r="E6" s="59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</row>
    <row r="7" spans="1:10792" x14ac:dyDescent="0.3">
      <c r="C7" s="1"/>
      <c r="D7" s="1"/>
    </row>
  </sheetData>
  <printOptions horizontalCentered="1"/>
  <pageMargins left="0" right="0" top="0.47244094488188981" bottom="0" header="0.15748031496062992" footer="0.15748031496062992"/>
  <pageSetup paperSize="9" firstPageNumber="9" fitToHeight="4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13"/>
  </sheetPr>
  <dimension ref="A1:E15"/>
  <sheetViews>
    <sheetView view="pageBreakPreview" zoomScaleSheetLayoutView="100" workbookViewId="0">
      <selection activeCell="A13" sqref="A1:XFD13"/>
    </sheetView>
  </sheetViews>
  <sheetFormatPr baseColWidth="10" defaultColWidth="11.3984375" defaultRowHeight="15.5" outlineLevelCol="1" x14ac:dyDescent="0.3"/>
  <cols>
    <col min="1" max="1" width="6.09765625" style="25" customWidth="1"/>
    <col min="2" max="2" width="64.09765625" style="26" customWidth="1"/>
    <col min="3" max="3" width="8.296875" style="2" customWidth="1"/>
    <col min="4" max="4" width="19.59765625" style="2" hidden="1" customWidth="1" outlineLevel="1"/>
    <col min="5" max="5" width="23.3984375" style="2" customWidth="1" collapsed="1"/>
    <col min="6" max="16384" width="11.3984375" style="2"/>
  </cols>
  <sheetData>
    <row r="1" spans="1:5" s="12" customFormat="1" ht="25.5" customHeight="1" x14ac:dyDescent="0.3">
      <c r="A1" s="62">
        <v>97</v>
      </c>
      <c r="B1" s="52" t="s">
        <v>142</v>
      </c>
      <c r="C1" s="13">
        <v>0</v>
      </c>
      <c r="D1" s="9">
        <v>50000000</v>
      </c>
      <c r="E1" s="10">
        <f>D1*C1</f>
        <v>0</v>
      </c>
    </row>
    <row r="2" spans="1:5" s="12" customFormat="1" ht="25.5" customHeight="1" x14ac:dyDescent="0.3">
      <c r="A2" s="62">
        <v>98</v>
      </c>
      <c r="B2" s="52" t="s">
        <v>143</v>
      </c>
      <c r="C2" s="13">
        <v>13</v>
      </c>
      <c r="D2" s="9">
        <v>35000000</v>
      </c>
      <c r="E2" s="10">
        <f t="shared" ref="E2:E13" si="0">D2*C2</f>
        <v>455000000</v>
      </c>
    </row>
    <row r="3" spans="1:5" s="12" customFormat="1" ht="25.5" customHeight="1" x14ac:dyDescent="0.3">
      <c r="A3" s="62">
        <v>99</v>
      </c>
      <c r="B3" s="52" t="s">
        <v>144</v>
      </c>
      <c r="C3" s="13">
        <v>0</v>
      </c>
      <c r="D3" s="9"/>
      <c r="E3" s="10">
        <f t="shared" si="0"/>
        <v>0</v>
      </c>
    </row>
    <row r="4" spans="1:5" s="12" customFormat="1" ht="31.5" customHeight="1" x14ac:dyDescent="0.3">
      <c r="A4" s="62">
        <v>100</v>
      </c>
      <c r="B4" s="52" t="s">
        <v>145</v>
      </c>
      <c r="C4" s="13"/>
      <c r="D4" s="9"/>
      <c r="E4" s="10">
        <f t="shared" si="0"/>
        <v>0</v>
      </c>
    </row>
    <row r="5" spans="1:5" s="12" customFormat="1" ht="31.5" customHeight="1" x14ac:dyDescent="0.3">
      <c r="A5" s="62">
        <v>100</v>
      </c>
      <c r="B5" s="52" t="s">
        <v>146</v>
      </c>
      <c r="C5" s="13">
        <v>4</v>
      </c>
      <c r="D5" s="9">
        <v>20000000</v>
      </c>
      <c r="E5" s="10">
        <f t="shared" si="0"/>
        <v>80000000</v>
      </c>
    </row>
    <row r="6" spans="1:5" s="12" customFormat="1" ht="31.5" customHeight="1" x14ac:dyDescent="0.3">
      <c r="A6" s="62">
        <v>100</v>
      </c>
      <c r="B6" s="52" t="s">
        <v>147</v>
      </c>
      <c r="C6" s="13">
        <v>0</v>
      </c>
      <c r="D6" s="9">
        <v>120000000</v>
      </c>
      <c r="E6" s="10">
        <f t="shared" si="0"/>
        <v>0</v>
      </c>
    </row>
    <row r="7" spans="1:5" s="12" customFormat="1" ht="31.5" customHeight="1" x14ac:dyDescent="0.3">
      <c r="A7" s="62">
        <v>100</v>
      </c>
      <c r="B7" s="52" t="s">
        <v>148</v>
      </c>
      <c r="C7" s="13">
        <v>0</v>
      </c>
      <c r="D7" s="9">
        <v>120000000</v>
      </c>
      <c r="E7" s="10">
        <f t="shared" si="0"/>
        <v>0</v>
      </c>
    </row>
    <row r="8" spans="1:5" s="12" customFormat="1" ht="31.5" customHeight="1" x14ac:dyDescent="0.3">
      <c r="A8" s="62">
        <v>100</v>
      </c>
      <c r="B8" s="52" t="s">
        <v>149</v>
      </c>
      <c r="C8" s="13">
        <v>1</v>
      </c>
      <c r="D8" s="9">
        <v>120000000</v>
      </c>
      <c r="E8" s="10">
        <f t="shared" si="0"/>
        <v>120000000</v>
      </c>
    </row>
    <row r="9" spans="1:5" s="12" customFormat="1" ht="31.5" customHeight="1" x14ac:dyDescent="0.3">
      <c r="A9" s="62">
        <v>100</v>
      </c>
      <c r="B9" s="52" t="s">
        <v>150</v>
      </c>
      <c r="C9" s="13">
        <v>1</v>
      </c>
      <c r="D9" s="9">
        <v>50000000</v>
      </c>
      <c r="E9" s="10">
        <f t="shared" si="0"/>
        <v>50000000</v>
      </c>
    </row>
    <row r="10" spans="1:5" s="12" customFormat="1" ht="31.5" customHeight="1" x14ac:dyDescent="0.3">
      <c r="A10" s="62">
        <v>100</v>
      </c>
      <c r="B10" s="52" t="s">
        <v>151</v>
      </c>
      <c r="C10" s="13">
        <v>0</v>
      </c>
      <c r="D10" s="9">
        <v>35000000</v>
      </c>
      <c r="E10" s="10">
        <f t="shared" si="0"/>
        <v>0</v>
      </c>
    </row>
    <row r="11" spans="1:5" s="12" customFormat="1" ht="31.5" customHeight="1" x14ac:dyDescent="0.3">
      <c r="A11" s="62">
        <v>100</v>
      </c>
      <c r="B11" s="52" t="s">
        <v>152</v>
      </c>
      <c r="C11" s="13">
        <v>0</v>
      </c>
      <c r="D11" s="9">
        <v>40000000</v>
      </c>
      <c r="E11" s="10">
        <f t="shared" si="0"/>
        <v>0</v>
      </c>
    </row>
    <row r="12" spans="1:5" s="12" customFormat="1" ht="31.5" customHeight="1" x14ac:dyDescent="0.3">
      <c r="A12" s="62">
        <v>100</v>
      </c>
      <c r="B12" s="52" t="s">
        <v>153</v>
      </c>
      <c r="C12" s="13">
        <v>1</v>
      </c>
      <c r="D12" s="9">
        <v>15470000</v>
      </c>
      <c r="E12" s="10">
        <f t="shared" si="0"/>
        <v>15470000</v>
      </c>
    </row>
    <row r="13" spans="1:5" s="12" customFormat="1" ht="33" customHeight="1" x14ac:dyDescent="0.3">
      <c r="A13" s="62">
        <v>101</v>
      </c>
      <c r="B13" s="52" t="s">
        <v>154</v>
      </c>
      <c r="C13" s="13">
        <v>15</v>
      </c>
      <c r="D13" s="9">
        <v>20000000</v>
      </c>
      <c r="E13" s="10">
        <f t="shared" si="0"/>
        <v>300000000</v>
      </c>
    </row>
    <row r="15" spans="1:5" s="65" customFormat="1" ht="14" x14ac:dyDescent="0.3">
      <c r="A15" s="63"/>
      <c r="B15" s="64"/>
    </row>
  </sheetData>
  <printOptions horizontalCentered="1"/>
  <pageMargins left="7.874015748031496E-2" right="0" top="0.43307086614173229" bottom="0.27559055118110237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3"/>
  </sheetPr>
  <dimension ref="A1:E12"/>
  <sheetViews>
    <sheetView view="pageBreakPreview" zoomScaleSheetLayoutView="100" workbookViewId="0">
      <selection activeCell="A4" sqref="A1:XFD4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102</v>
      </c>
      <c r="B1" s="52" t="s">
        <v>155</v>
      </c>
      <c r="C1" s="13">
        <v>16</v>
      </c>
      <c r="D1" s="9">
        <v>300000</v>
      </c>
      <c r="E1" s="41">
        <f>C1*D1</f>
        <v>4800000</v>
      </c>
    </row>
    <row r="2" spans="1:5" s="12" customFormat="1" ht="35.25" customHeight="1" x14ac:dyDescent="0.3">
      <c r="A2" s="48">
        <v>103</v>
      </c>
      <c r="B2" s="52" t="s">
        <v>156</v>
      </c>
      <c r="C2" s="13">
        <v>52</v>
      </c>
      <c r="D2" s="9">
        <v>12000000</v>
      </c>
      <c r="E2" s="41">
        <f>C2*D2</f>
        <v>624000000</v>
      </c>
    </row>
    <row r="3" spans="1:5" s="12" customFormat="1" ht="35.25" customHeight="1" x14ac:dyDescent="0.3">
      <c r="A3" s="48">
        <v>104</v>
      </c>
      <c r="B3" s="52" t="s">
        <v>157</v>
      </c>
      <c r="C3" s="13">
        <v>0</v>
      </c>
      <c r="D3" s="9">
        <v>1500000</v>
      </c>
      <c r="E3" s="41">
        <f>C3*D3</f>
        <v>0</v>
      </c>
    </row>
    <row r="4" spans="1:5" s="12" customFormat="1" ht="35.25" customHeight="1" x14ac:dyDescent="0.3">
      <c r="A4" s="48">
        <v>105</v>
      </c>
      <c r="B4" s="52" t="s">
        <v>158</v>
      </c>
      <c r="C4" s="13">
        <v>50</v>
      </c>
      <c r="D4" s="9">
        <v>3000000</v>
      </c>
      <c r="E4" s="41">
        <f>C4*D4</f>
        <v>150000000</v>
      </c>
    </row>
    <row r="5" spans="1:5" s="65" customFormat="1" ht="34.5" customHeight="1" x14ac:dyDescent="0.3">
      <c r="A5" s="63"/>
      <c r="B5" s="64"/>
    </row>
    <row r="6" spans="1:5" ht="34.5" customHeight="1" x14ac:dyDescent="0.3"/>
    <row r="7" spans="1:5" ht="34.5" customHeight="1" x14ac:dyDescent="0.3">
      <c r="A7" s="2"/>
      <c r="B7" s="2"/>
    </row>
    <row r="8" spans="1:5" ht="34.5" customHeight="1" x14ac:dyDescent="0.3">
      <c r="A8" s="2"/>
      <c r="B8" s="2"/>
    </row>
    <row r="9" spans="1:5" ht="34.5" customHeight="1" x14ac:dyDescent="0.3">
      <c r="A9" s="2"/>
      <c r="B9" s="2"/>
    </row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indexed="13"/>
  </sheetPr>
  <dimension ref="A1:F54"/>
  <sheetViews>
    <sheetView view="pageBreakPreview" topLeftCell="A13" zoomScale="90" zoomScaleSheetLayoutView="90" workbookViewId="0">
      <selection sqref="A1:XFD30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61.59765625" style="26" bestFit="1" customWidth="1"/>
    <col min="3" max="3" width="8.296875" style="2" customWidth="1"/>
    <col min="4" max="4" width="17.296875" style="2" customWidth="1" outlineLevel="1"/>
    <col min="5" max="5" width="20.3984375" style="2" bestFit="1" customWidth="1"/>
    <col min="6" max="6" width="18.296875" style="2" bestFit="1" customWidth="1"/>
    <col min="7" max="16384" width="11.3984375" style="2"/>
  </cols>
  <sheetData>
    <row r="1" spans="1:6" s="12" customFormat="1" ht="27" customHeight="1" x14ac:dyDescent="0.3">
      <c r="A1" s="48">
        <v>106</v>
      </c>
      <c r="B1" s="66" t="s">
        <v>159</v>
      </c>
      <c r="C1" s="13" t="s">
        <v>141</v>
      </c>
      <c r="D1" s="9"/>
      <c r="E1" s="41"/>
    </row>
    <row r="2" spans="1:6" s="12" customFormat="1" ht="27" customHeight="1" x14ac:dyDescent="0.3">
      <c r="A2" s="48">
        <v>107</v>
      </c>
      <c r="B2" s="66" t="s">
        <v>160</v>
      </c>
      <c r="C2" s="13" t="s">
        <v>141</v>
      </c>
      <c r="D2" s="9"/>
      <c r="E2" s="41"/>
    </row>
    <row r="3" spans="1:6" s="12" customFormat="1" ht="27" customHeight="1" x14ac:dyDescent="0.3">
      <c r="A3" s="48">
        <v>108</v>
      </c>
      <c r="B3" s="66" t="s">
        <v>161</v>
      </c>
      <c r="C3" s="13" t="s">
        <v>141</v>
      </c>
      <c r="D3" s="9"/>
      <c r="E3" s="41"/>
    </row>
    <row r="4" spans="1:6" s="12" customFormat="1" ht="27" customHeight="1" x14ac:dyDescent="0.3">
      <c r="A4" s="48">
        <v>109</v>
      </c>
      <c r="B4" s="66" t="s">
        <v>162</v>
      </c>
      <c r="C4" s="13" t="s">
        <v>141</v>
      </c>
      <c r="D4" s="9"/>
      <c r="E4" s="41"/>
    </row>
    <row r="5" spans="1:6" s="12" customFormat="1" ht="27" customHeight="1" x14ac:dyDescent="0.3">
      <c r="A5" s="48">
        <v>110</v>
      </c>
      <c r="B5" s="66" t="s">
        <v>163</v>
      </c>
      <c r="C5" s="13" t="s">
        <v>141</v>
      </c>
      <c r="D5" s="9"/>
      <c r="E5" s="41"/>
    </row>
    <row r="6" spans="1:6" s="12" customFormat="1" ht="27" customHeight="1" x14ac:dyDescent="0.3">
      <c r="A6" s="48">
        <v>111</v>
      </c>
      <c r="B6" s="66" t="s">
        <v>164</v>
      </c>
      <c r="C6" s="13" t="s">
        <v>141</v>
      </c>
      <c r="D6" s="9"/>
      <c r="E6" s="41"/>
    </row>
    <row r="7" spans="1:6" s="12" customFormat="1" ht="27" customHeight="1" x14ac:dyDescent="0.3">
      <c r="A7" s="48">
        <v>112</v>
      </c>
      <c r="B7" s="66" t="s">
        <v>165</v>
      </c>
      <c r="C7" s="13" t="s">
        <v>141</v>
      </c>
      <c r="D7" s="9"/>
      <c r="E7" s="41"/>
    </row>
    <row r="8" spans="1:6" s="12" customFormat="1" ht="27" customHeight="1" x14ac:dyDescent="0.3">
      <c r="A8" s="48">
        <v>113</v>
      </c>
      <c r="B8" s="66" t="s">
        <v>166</v>
      </c>
      <c r="C8" s="13" t="s">
        <v>141</v>
      </c>
      <c r="D8" s="9"/>
      <c r="E8" s="41"/>
    </row>
    <row r="9" spans="1:6" s="12" customFormat="1" ht="27" customHeight="1" x14ac:dyDescent="0.3">
      <c r="A9" s="48">
        <v>114</v>
      </c>
      <c r="B9" s="66" t="s">
        <v>167</v>
      </c>
      <c r="C9" s="13" t="s">
        <v>141</v>
      </c>
      <c r="D9" s="9"/>
      <c r="E9" s="41"/>
    </row>
    <row r="10" spans="1:6" s="4" customFormat="1" ht="27" customHeight="1" x14ac:dyDescent="0.3">
      <c r="A10" s="48">
        <v>115</v>
      </c>
      <c r="B10" s="66" t="s">
        <v>168</v>
      </c>
      <c r="C10" s="13" t="s">
        <v>141</v>
      </c>
      <c r="D10" s="9"/>
      <c r="E10" s="41"/>
    </row>
    <row r="11" spans="1:6" s="69" customFormat="1" ht="27" customHeight="1" x14ac:dyDescent="0.3">
      <c r="A11" s="48">
        <v>116</v>
      </c>
      <c r="B11" s="67" t="s">
        <v>169</v>
      </c>
      <c r="C11" s="13" t="s">
        <v>141</v>
      </c>
      <c r="D11" s="68">
        <v>200000</v>
      </c>
      <c r="E11" s="41"/>
    </row>
    <row r="12" spans="1:6" s="69" customFormat="1" ht="27" customHeight="1" x14ac:dyDescent="0.3">
      <c r="A12" s="48">
        <v>117</v>
      </c>
      <c r="B12" s="67" t="s">
        <v>170</v>
      </c>
      <c r="C12" s="13" t="s">
        <v>141</v>
      </c>
      <c r="D12" s="68"/>
      <c r="E12" s="41"/>
    </row>
    <row r="13" spans="1:6" s="69" customFormat="1" ht="27" customHeight="1" x14ac:dyDescent="0.3">
      <c r="A13" s="48">
        <v>118</v>
      </c>
      <c r="B13" s="67" t="s">
        <v>171</v>
      </c>
      <c r="C13" s="13" t="s">
        <v>141</v>
      </c>
      <c r="D13" s="68"/>
      <c r="E13" s="41"/>
    </row>
    <row r="14" spans="1:6" s="69" customFormat="1" ht="26.25" customHeight="1" x14ac:dyDescent="0.3">
      <c r="A14" s="48">
        <v>119</v>
      </c>
      <c r="B14" s="67" t="s">
        <v>172</v>
      </c>
      <c r="C14" s="70" t="s">
        <v>141</v>
      </c>
      <c r="D14" s="71"/>
      <c r="E14" s="72">
        <v>1720350000</v>
      </c>
      <c r="F14" s="73"/>
    </row>
    <row r="15" spans="1:6" s="69" customFormat="1" ht="26.25" customHeight="1" x14ac:dyDescent="0.3">
      <c r="A15" s="48">
        <v>120</v>
      </c>
      <c r="B15" s="67" t="s">
        <v>173</v>
      </c>
      <c r="C15" s="70" t="s">
        <v>141</v>
      </c>
      <c r="D15" s="71"/>
      <c r="E15" s="72">
        <v>600000000</v>
      </c>
    </row>
    <row r="16" spans="1:6" s="69" customFormat="1" ht="30.75" customHeight="1" x14ac:dyDescent="0.3">
      <c r="A16" s="48">
        <v>121</v>
      </c>
      <c r="B16" s="67" t="s">
        <v>174</v>
      </c>
      <c r="C16" s="70" t="s">
        <v>141</v>
      </c>
      <c r="D16" s="71"/>
      <c r="E16" s="41"/>
    </row>
    <row r="17" spans="1:5" s="69" customFormat="1" ht="30.75" customHeight="1" x14ac:dyDescent="0.3">
      <c r="A17" s="48">
        <v>122</v>
      </c>
      <c r="B17" s="67" t="s">
        <v>175</v>
      </c>
      <c r="C17" s="70" t="s">
        <v>141</v>
      </c>
      <c r="D17" s="71"/>
      <c r="E17" s="41"/>
    </row>
    <row r="18" spans="1:5" s="69" customFormat="1" ht="30.75" customHeight="1" x14ac:dyDescent="0.3">
      <c r="A18" s="48">
        <v>123</v>
      </c>
      <c r="B18" s="67" t="s">
        <v>176</v>
      </c>
      <c r="C18" s="70" t="s">
        <v>141</v>
      </c>
      <c r="D18" s="71"/>
      <c r="E18" s="41"/>
    </row>
    <row r="19" spans="1:5" s="69" customFormat="1" ht="30.75" customHeight="1" x14ac:dyDescent="0.3">
      <c r="A19" s="48">
        <v>124</v>
      </c>
      <c r="B19" s="67" t="s">
        <v>177</v>
      </c>
      <c r="C19" s="70" t="s">
        <v>141</v>
      </c>
      <c r="D19" s="71"/>
      <c r="E19" s="41">
        <v>10000000</v>
      </c>
    </row>
    <row r="20" spans="1:5" s="69" customFormat="1" ht="33" customHeight="1" x14ac:dyDescent="0.3">
      <c r="A20" s="85" t="s">
        <v>178</v>
      </c>
      <c r="B20" s="86"/>
      <c r="C20" s="70" t="s">
        <v>141</v>
      </c>
      <c r="D20" s="71"/>
      <c r="E20" s="41">
        <v>10000000</v>
      </c>
    </row>
    <row r="21" spans="1:5" s="69" customFormat="1" ht="33" customHeight="1" x14ac:dyDescent="0.3">
      <c r="A21" s="48">
        <v>125</v>
      </c>
      <c r="B21" s="67" t="s">
        <v>179</v>
      </c>
      <c r="C21" s="70" t="s">
        <v>141</v>
      </c>
      <c r="D21" s="71"/>
      <c r="E21" s="41"/>
    </row>
    <row r="22" spans="1:5" s="69" customFormat="1" ht="33" customHeight="1" x14ac:dyDescent="0.3">
      <c r="A22" s="48">
        <v>126</v>
      </c>
      <c r="B22" s="67" t="s">
        <v>180</v>
      </c>
      <c r="C22" s="70" t="s">
        <v>141</v>
      </c>
      <c r="D22" s="71"/>
      <c r="E22" s="41"/>
    </row>
    <row r="23" spans="1:5" s="69" customFormat="1" ht="33" customHeight="1" x14ac:dyDescent="0.3">
      <c r="A23" s="48">
        <v>127</v>
      </c>
      <c r="B23" s="67" t="s">
        <v>181</v>
      </c>
      <c r="C23" s="70" t="s">
        <v>141</v>
      </c>
      <c r="D23" s="71"/>
      <c r="E23" s="41"/>
    </row>
    <row r="24" spans="1:5" s="69" customFormat="1" ht="33" customHeight="1" x14ac:dyDescent="0.3">
      <c r="A24" s="48">
        <v>128</v>
      </c>
      <c r="B24" s="67" t="s">
        <v>182</v>
      </c>
      <c r="C24" s="70" t="s">
        <v>141</v>
      </c>
      <c r="D24" s="71"/>
      <c r="E24" s="41">
        <v>15000000</v>
      </c>
    </row>
    <row r="25" spans="1:5" s="69" customFormat="1" ht="33" customHeight="1" x14ac:dyDescent="0.3">
      <c r="A25" s="48">
        <v>129</v>
      </c>
      <c r="B25" s="67" t="s">
        <v>183</v>
      </c>
      <c r="C25" s="70" t="s">
        <v>141</v>
      </c>
      <c r="D25" s="71" t="s">
        <v>141</v>
      </c>
      <c r="E25" s="72">
        <v>30000000</v>
      </c>
    </row>
    <row r="26" spans="1:5" s="69" customFormat="1" ht="33" customHeight="1" x14ac:dyDescent="0.3">
      <c r="A26" s="48">
        <v>130</v>
      </c>
      <c r="B26" s="67" t="s">
        <v>184</v>
      </c>
      <c r="C26" s="70" t="s">
        <v>141</v>
      </c>
      <c r="D26" s="71"/>
      <c r="E26" s="72">
        <v>20000000</v>
      </c>
    </row>
    <row r="27" spans="1:5" s="69" customFormat="1" ht="33" customHeight="1" x14ac:dyDescent="0.3">
      <c r="A27" s="48">
        <v>131</v>
      </c>
      <c r="B27" s="67" t="s">
        <v>185</v>
      </c>
      <c r="C27" s="70" t="s">
        <v>141</v>
      </c>
      <c r="D27" s="71"/>
      <c r="E27" s="72">
        <v>10000000</v>
      </c>
    </row>
    <row r="28" spans="1:5" s="69" customFormat="1" ht="33" customHeight="1" x14ac:dyDescent="0.3">
      <c r="A28" s="48">
        <v>132</v>
      </c>
      <c r="B28" s="67" t="s">
        <v>186</v>
      </c>
      <c r="C28" s="70" t="s">
        <v>141</v>
      </c>
      <c r="D28" s="71"/>
      <c r="E28" s="72">
        <v>30000000</v>
      </c>
    </row>
    <row r="29" spans="1:5" s="69" customFormat="1" ht="33" customHeight="1" x14ac:dyDescent="0.3">
      <c r="A29" s="48">
        <v>133</v>
      </c>
      <c r="B29" s="67" t="s">
        <v>187</v>
      </c>
      <c r="C29" s="70" t="s">
        <v>141</v>
      </c>
      <c r="D29" s="71"/>
      <c r="E29" s="41">
        <v>2000000</v>
      </c>
    </row>
    <row r="30" spans="1:5" s="69" customFormat="1" ht="33" customHeight="1" x14ac:dyDescent="0.3">
      <c r="A30" s="48">
        <v>134</v>
      </c>
      <c r="B30" s="67" t="s">
        <v>188</v>
      </c>
      <c r="C30" s="70" t="s">
        <v>141</v>
      </c>
      <c r="D30" s="71"/>
      <c r="E30" s="41">
        <v>2000000</v>
      </c>
    </row>
    <row r="31" spans="1:5" s="65" customFormat="1" ht="34.5" customHeight="1" x14ac:dyDescent="0.3">
      <c r="A31" s="63"/>
      <c r="B31" s="64"/>
    </row>
    <row r="32" spans="1:5" ht="34.5" customHeight="1" x14ac:dyDescent="0.3">
      <c r="B32" s="2"/>
    </row>
    <row r="33" spans="1:6" ht="34.5" customHeight="1" x14ac:dyDescent="0.3">
      <c r="B33" s="2"/>
    </row>
    <row r="34" spans="1:6" ht="34.5" customHeight="1" x14ac:dyDescent="0.3">
      <c r="B34" s="2"/>
    </row>
    <row r="35" spans="1:6" ht="34.5" customHeight="1" x14ac:dyDescent="0.3">
      <c r="B35" s="2"/>
    </row>
    <row r="36" spans="1:6" ht="34.5" customHeight="1" x14ac:dyDescent="0.3">
      <c r="B36" s="2"/>
    </row>
    <row r="37" spans="1:6" ht="34.5" customHeight="1" x14ac:dyDescent="0.3">
      <c r="B37" s="2"/>
    </row>
    <row r="38" spans="1:6" ht="34.5" customHeight="1" x14ac:dyDescent="0.3">
      <c r="B38" s="2"/>
    </row>
    <row r="39" spans="1:6" ht="13" x14ac:dyDescent="0.3">
      <c r="B39" s="2"/>
    </row>
    <row r="40" spans="1:6" ht="13" x14ac:dyDescent="0.3">
      <c r="B40" s="2"/>
    </row>
    <row r="41" spans="1:6" ht="13" x14ac:dyDescent="0.3">
      <c r="B41" s="2"/>
    </row>
    <row r="42" spans="1:6" ht="13" x14ac:dyDescent="0.3">
      <c r="B42" s="2"/>
    </row>
    <row r="43" spans="1:6" ht="13" x14ac:dyDescent="0.3">
      <c r="B43" s="2"/>
    </row>
    <row r="44" spans="1:6" ht="13" x14ac:dyDescent="0.3">
      <c r="B44" s="2"/>
    </row>
    <row r="45" spans="1:6" ht="13" x14ac:dyDescent="0.3">
      <c r="B45" s="2"/>
    </row>
    <row r="46" spans="1:6" ht="13" x14ac:dyDescent="0.3">
      <c r="B46" s="2"/>
    </row>
    <row r="47" spans="1:6" s="1" customFormat="1" ht="13" x14ac:dyDescent="0.3">
      <c r="A47" s="25"/>
      <c r="B47" s="2"/>
      <c r="C47" s="2"/>
      <c r="D47" s="2"/>
      <c r="E47" s="2"/>
      <c r="F47" s="2"/>
    </row>
    <row r="48" spans="1:6" s="1" customFormat="1" ht="13" x14ac:dyDescent="0.3">
      <c r="A48" s="25"/>
      <c r="B48" s="2"/>
      <c r="C48" s="2"/>
      <c r="D48" s="2"/>
      <c r="E48" s="2"/>
      <c r="F48" s="2"/>
    </row>
    <row r="49" spans="1:6" s="1" customFormat="1" ht="13" x14ac:dyDescent="0.3">
      <c r="A49" s="25"/>
      <c r="B49" s="2"/>
      <c r="C49" s="2"/>
      <c r="D49" s="2"/>
      <c r="E49" s="2"/>
      <c r="F49" s="2"/>
    </row>
    <row r="50" spans="1:6" s="1" customFormat="1" ht="13" x14ac:dyDescent="0.3">
      <c r="A50" s="25"/>
      <c r="B50" s="2"/>
      <c r="C50" s="2"/>
      <c r="D50" s="2"/>
      <c r="E50" s="2"/>
      <c r="F50" s="2"/>
    </row>
    <row r="51" spans="1:6" s="1" customFormat="1" ht="13" x14ac:dyDescent="0.3">
      <c r="A51" s="25"/>
      <c r="B51" s="2"/>
      <c r="C51" s="2"/>
      <c r="D51" s="2"/>
      <c r="E51" s="2"/>
      <c r="F51" s="2"/>
    </row>
    <row r="52" spans="1:6" s="1" customFormat="1" ht="13" x14ac:dyDescent="0.3">
      <c r="A52" s="25"/>
      <c r="B52" s="2"/>
      <c r="C52" s="2"/>
      <c r="D52" s="2"/>
      <c r="E52" s="2"/>
      <c r="F52" s="2"/>
    </row>
    <row r="53" spans="1:6" s="1" customFormat="1" ht="13" x14ac:dyDescent="0.3">
      <c r="A53" s="25"/>
      <c r="B53" s="2"/>
      <c r="C53" s="2"/>
      <c r="D53" s="2"/>
      <c r="E53" s="2"/>
      <c r="F53" s="2"/>
    </row>
    <row r="54" spans="1:6" s="1" customFormat="1" ht="13" x14ac:dyDescent="0.3">
      <c r="A54" s="25"/>
      <c r="B54" s="2"/>
      <c r="C54" s="2"/>
      <c r="D54" s="2"/>
      <c r="E54" s="2"/>
      <c r="F54" s="2"/>
    </row>
  </sheetData>
  <mergeCells count="1">
    <mergeCell ref="A20:B20"/>
  </mergeCells>
  <printOptions horizontalCentered="1"/>
  <pageMargins left="0.35433070866141736" right="0" top="0.35433070866141736" bottom="0.27559055118110237" header="0.15748031496062992" footer="0.15748031496062992"/>
  <pageSetup paperSize="9" scale="98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3"/>
  </sheetPr>
  <dimension ref="A1:E15"/>
  <sheetViews>
    <sheetView view="pageBreakPreview" zoomScaleSheetLayoutView="100" workbookViewId="0">
      <selection activeCell="A7" sqref="A1:XFD7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136</v>
      </c>
      <c r="B1" s="52" t="s">
        <v>189</v>
      </c>
      <c r="C1" s="13">
        <v>0</v>
      </c>
      <c r="D1" s="9"/>
      <c r="E1" s="10">
        <f>D1*C1</f>
        <v>0</v>
      </c>
    </row>
    <row r="2" spans="1:5" s="12" customFormat="1" ht="35.25" customHeight="1" x14ac:dyDescent="0.3">
      <c r="A2" s="48">
        <v>136</v>
      </c>
      <c r="B2" s="52" t="s">
        <v>190</v>
      </c>
      <c r="C2" s="13">
        <v>10</v>
      </c>
      <c r="D2" s="9">
        <v>195000000</v>
      </c>
      <c r="E2" s="10">
        <f t="shared" ref="E2:E7" si="0">D2*C2</f>
        <v>1950000000</v>
      </c>
    </row>
    <row r="3" spans="1:5" s="12" customFormat="1" ht="35.25" customHeight="1" x14ac:dyDescent="0.3">
      <c r="A3" s="48">
        <v>136</v>
      </c>
      <c r="B3" s="52" t="s">
        <v>191</v>
      </c>
      <c r="C3" s="13">
        <v>22</v>
      </c>
      <c r="D3" s="9">
        <v>27500000</v>
      </c>
      <c r="E3" s="10">
        <f t="shared" si="0"/>
        <v>605000000</v>
      </c>
    </row>
    <row r="4" spans="1:5" s="12" customFormat="1" ht="35.25" customHeight="1" x14ac:dyDescent="0.3">
      <c r="A4" s="48">
        <v>136</v>
      </c>
      <c r="B4" s="52" t="s">
        <v>192</v>
      </c>
      <c r="C4" s="13">
        <v>0</v>
      </c>
      <c r="D4" s="9">
        <v>10000000</v>
      </c>
      <c r="E4" s="10">
        <f t="shared" si="0"/>
        <v>0</v>
      </c>
    </row>
    <row r="5" spans="1:5" s="12" customFormat="1" ht="35.25" customHeight="1" x14ac:dyDescent="0.3">
      <c r="A5" s="48">
        <v>137</v>
      </c>
      <c r="B5" s="52" t="s">
        <v>193</v>
      </c>
      <c r="C5" s="13">
        <v>53</v>
      </c>
      <c r="D5" s="9">
        <v>700000</v>
      </c>
      <c r="E5" s="10">
        <f t="shared" si="0"/>
        <v>37100000</v>
      </c>
    </row>
    <row r="6" spans="1:5" s="12" customFormat="1" ht="35.25" customHeight="1" x14ac:dyDescent="0.3">
      <c r="A6" s="48">
        <v>138</v>
      </c>
      <c r="B6" s="52" t="s">
        <v>194</v>
      </c>
      <c r="C6" s="13">
        <v>37</v>
      </c>
      <c r="D6" s="9">
        <v>2000000</v>
      </c>
      <c r="E6" s="10">
        <f t="shared" si="0"/>
        <v>74000000</v>
      </c>
    </row>
    <row r="7" spans="1:5" s="12" customFormat="1" ht="35.25" customHeight="1" x14ac:dyDescent="0.3">
      <c r="A7" s="48">
        <v>139</v>
      </c>
      <c r="B7" s="52" t="s">
        <v>195</v>
      </c>
      <c r="C7" s="13">
        <v>25</v>
      </c>
      <c r="D7" s="9">
        <v>2500000</v>
      </c>
      <c r="E7" s="10">
        <f t="shared" si="0"/>
        <v>62500000</v>
      </c>
    </row>
    <row r="8" spans="1:5" s="65" customFormat="1" ht="34.5" customHeight="1" x14ac:dyDescent="0.3">
      <c r="A8" s="63"/>
      <c r="B8" s="64"/>
    </row>
    <row r="9" spans="1:5" ht="34.5" customHeight="1" x14ac:dyDescent="0.3"/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  <row r="13" spans="1:5" ht="34.5" customHeight="1" x14ac:dyDescent="0.3">
      <c r="A13" s="2"/>
      <c r="B13" s="2"/>
    </row>
    <row r="14" spans="1:5" ht="34.5" customHeight="1" x14ac:dyDescent="0.3">
      <c r="A14" s="2"/>
      <c r="B14" s="2"/>
    </row>
    <row r="15" spans="1:5" ht="34.5" customHeight="1" x14ac:dyDescent="0.3">
      <c r="A15" s="2"/>
      <c r="B15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3"/>
  </sheetPr>
  <dimension ref="A1:F25"/>
  <sheetViews>
    <sheetView view="pageBreakPreview" zoomScale="130" zoomScaleSheetLayoutView="130" workbookViewId="0">
      <selection activeCell="A17" sqref="A1:XFD17"/>
    </sheetView>
  </sheetViews>
  <sheetFormatPr baseColWidth="10" defaultColWidth="11.3984375" defaultRowHeight="15.5" outlineLevelCol="1" x14ac:dyDescent="0.3"/>
  <cols>
    <col min="1" max="1" width="3.3984375" style="25" bestFit="1" customWidth="1"/>
    <col min="2" max="2" width="68.09765625" style="26" customWidth="1"/>
    <col min="3" max="3" width="4.59765625" style="2" bestFit="1" customWidth="1"/>
    <col min="4" max="4" width="17.296875" style="2" hidden="1" customWidth="1" outlineLevel="1"/>
    <col min="5" max="5" width="22.09765625" style="2" customWidth="1" collapsed="1"/>
    <col min="6" max="6" width="25" style="2" customWidth="1"/>
    <col min="7" max="16384" width="11.3984375" style="2"/>
  </cols>
  <sheetData>
    <row r="1" spans="1:6" s="12" customFormat="1" ht="31" x14ac:dyDescent="0.3">
      <c r="A1" s="28"/>
      <c r="B1" s="74" t="s">
        <v>196</v>
      </c>
      <c r="C1" s="7">
        <v>400</v>
      </c>
      <c r="D1" s="9"/>
      <c r="E1" s="75">
        <v>475000000</v>
      </c>
    </row>
    <row r="2" spans="1:6" s="12" customFormat="1" ht="24" customHeight="1" x14ac:dyDescent="0.3">
      <c r="A2" s="28"/>
      <c r="B2" s="74" t="s">
        <v>197</v>
      </c>
      <c r="C2" s="7">
        <v>15</v>
      </c>
      <c r="D2" s="9"/>
      <c r="E2" s="75">
        <v>60000000</v>
      </c>
    </row>
    <row r="3" spans="1:6" s="12" customFormat="1" ht="24" customHeight="1" x14ac:dyDescent="0.3">
      <c r="A3" s="28"/>
      <c r="B3" s="74" t="s">
        <v>198</v>
      </c>
      <c r="C3" s="7" t="s">
        <v>141</v>
      </c>
      <c r="D3" s="9"/>
      <c r="E3" s="75">
        <v>50000000</v>
      </c>
    </row>
    <row r="4" spans="1:6" s="12" customFormat="1" ht="24" customHeight="1" x14ac:dyDescent="0.3">
      <c r="A4" s="28"/>
      <c r="B4" s="74" t="s">
        <v>199</v>
      </c>
      <c r="C4" s="7" t="s">
        <v>141</v>
      </c>
      <c r="D4" s="9"/>
      <c r="E4" s="75">
        <v>300000000</v>
      </c>
    </row>
    <row r="5" spans="1:6" s="12" customFormat="1" ht="24" customHeight="1" x14ac:dyDescent="0.3">
      <c r="A5" s="28"/>
      <c r="B5" s="74" t="s">
        <v>200</v>
      </c>
      <c r="C5" s="7" t="s">
        <v>141</v>
      </c>
      <c r="D5" s="9"/>
      <c r="E5" s="75">
        <v>300000000</v>
      </c>
    </row>
    <row r="6" spans="1:6" s="12" customFormat="1" ht="24" customHeight="1" x14ac:dyDescent="0.3">
      <c r="A6" s="28"/>
      <c r="B6" s="74" t="s">
        <v>201</v>
      </c>
      <c r="C6" s="7" t="s">
        <v>141</v>
      </c>
      <c r="D6" s="9"/>
      <c r="E6" s="75">
        <v>400000000</v>
      </c>
    </row>
    <row r="7" spans="1:6" s="12" customFormat="1" ht="24" customHeight="1" x14ac:dyDescent="0.3">
      <c r="A7" s="28"/>
      <c r="B7" s="74" t="s">
        <v>202</v>
      </c>
      <c r="C7" s="7" t="s">
        <v>141</v>
      </c>
      <c r="D7" s="9"/>
      <c r="E7" s="75">
        <v>30000000</v>
      </c>
    </row>
    <row r="8" spans="1:6" s="12" customFormat="1" ht="24" customHeight="1" x14ac:dyDescent="0.3">
      <c r="A8" s="28"/>
      <c r="B8" s="74" t="s">
        <v>203</v>
      </c>
      <c r="C8" s="7" t="s">
        <v>141</v>
      </c>
      <c r="D8" s="9"/>
      <c r="E8" s="75">
        <v>20000000</v>
      </c>
    </row>
    <row r="9" spans="1:6" s="12" customFormat="1" ht="24" customHeight="1" x14ac:dyDescent="0.3">
      <c r="A9" s="28"/>
      <c r="B9" s="74" t="s">
        <v>204</v>
      </c>
      <c r="C9" s="7" t="s">
        <v>141</v>
      </c>
      <c r="D9" s="9"/>
      <c r="E9" s="75">
        <v>50000000</v>
      </c>
    </row>
    <row r="10" spans="1:6" s="12" customFormat="1" ht="24" customHeight="1" x14ac:dyDescent="0.3">
      <c r="A10" s="28"/>
      <c r="B10" s="74" t="s">
        <v>205</v>
      </c>
      <c r="C10" s="7" t="s">
        <v>141</v>
      </c>
      <c r="D10" s="9"/>
      <c r="E10" s="75">
        <v>41224000</v>
      </c>
      <c r="F10" s="39">
        <f>E10+400000</f>
        <v>41624000</v>
      </c>
    </row>
    <row r="11" spans="1:6" s="12" customFormat="1" ht="24" customHeight="1" x14ac:dyDescent="0.3">
      <c r="A11" s="28"/>
      <c r="B11" s="74" t="s">
        <v>206</v>
      </c>
      <c r="C11" s="7" t="s">
        <v>141</v>
      </c>
      <c r="D11" s="9"/>
      <c r="E11" s="75">
        <v>20000000</v>
      </c>
    </row>
    <row r="12" spans="1:6" s="12" customFormat="1" ht="24" customHeight="1" x14ac:dyDescent="0.3">
      <c r="A12" s="28"/>
      <c r="B12" s="74" t="s">
        <v>207</v>
      </c>
      <c r="C12" s="7" t="s">
        <v>141</v>
      </c>
      <c r="D12" s="9"/>
      <c r="E12" s="75">
        <v>20000000</v>
      </c>
    </row>
    <row r="13" spans="1:6" s="12" customFormat="1" ht="24" customHeight="1" x14ac:dyDescent="0.3">
      <c r="A13" s="28"/>
      <c r="B13" s="74" t="s">
        <v>208</v>
      </c>
      <c r="C13" s="7" t="s">
        <v>141</v>
      </c>
      <c r="D13" s="9"/>
      <c r="E13" s="75">
        <v>20000000</v>
      </c>
    </row>
    <row r="14" spans="1:6" s="12" customFormat="1" ht="24" customHeight="1" x14ac:dyDescent="0.3">
      <c r="A14" s="28"/>
      <c r="B14" s="74" t="s">
        <v>209</v>
      </c>
      <c r="C14" s="7" t="s">
        <v>141</v>
      </c>
      <c r="D14" s="9"/>
      <c r="E14" s="75">
        <v>70000000</v>
      </c>
    </row>
    <row r="15" spans="1:6" s="12" customFormat="1" ht="24" customHeight="1" x14ac:dyDescent="0.3">
      <c r="A15" s="28"/>
      <c r="B15" s="74" t="s">
        <v>210</v>
      </c>
      <c r="C15" s="7" t="s">
        <v>141</v>
      </c>
      <c r="D15" s="9"/>
      <c r="E15" s="75">
        <v>50000000</v>
      </c>
      <c r="F15" s="39">
        <f>+E17+E16+E15+E14+E13+E12+E11+E10+E9+E8+E7+E6+E5+E4+E3+E2+E1</f>
        <v>1996224000</v>
      </c>
    </row>
    <row r="16" spans="1:6" s="12" customFormat="1" ht="24" customHeight="1" x14ac:dyDescent="0.3">
      <c r="A16" s="28"/>
      <c r="B16" s="74" t="s">
        <v>211</v>
      </c>
      <c r="C16" s="7" t="s">
        <v>141</v>
      </c>
      <c r="D16" s="9"/>
      <c r="E16" s="75">
        <v>50000000</v>
      </c>
    </row>
    <row r="17" spans="1:5" s="12" customFormat="1" ht="24" customHeight="1" x14ac:dyDescent="0.3">
      <c r="A17" s="28"/>
      <c r="B17" s="74" t="s">
        <v>212</v>
      </c>
      <c r="C17" s="7" t="s">
        <v>141</v>
      </c>
      <c r="D17" s="9"/>
      <c r="E17" s="75">
        <v>40000000</v>
      </c>
    </row>
    <row r="18" spans="1:5" s="65" customFormat="1" ht="34.5" customHeight="1" x14ac:dyDescent="0.3">
      <c r="A18" s="63"/>
      <c r="B18" s="64"/>
    </row>
    <row r="19" spans="1:5" ht="34.5" customHeight="1" x14ac:dyDescent="0.3"/>
    <row r="20" spans="1:5" ht="34.5" customHeight="1" x14ac:dyDescent="0.3">
      <c r="A20" s="2"/>
      <c r="B20" s="2"/>
    </row>
    <row r="21" spans="1:5" ht="34.5" customHeight="1" x14ac:dyDescent="0.3">
      <c r="A21" s="2"/>
      <c r="B21" s="2"/>
    </row>
    <row r="22" spans="1:5" ht="34.5" customHeight="1" x14ac:dyDescent="0.3">
      <c r="A22" s="2"/>
      <c r="B22" s="2"/>
    </row>
    <row r="23" spans="1:5" ht="34.5" customHeight="1" x14ac:dyDescent="0.3">
      <c r="A23" s="2"/>
      <c r="B23" s="2"/>
    </row>
    <row r="24" spans="1:5" ht="34.5" customHeight="1" x14ac:dyDescent="0.3">
      <c r="A24" s="2"/>
      <c r="B24" s="2"/>
    </row>
    <row r="25" spans="1:5" ht="34.5" customHeight="1" x14ac:dyDescent="0.3">
      <c r="A25" s="2"/>
      <c r="B25" s="2"/>
    </row>
  </sheetData>
  <printOptions horizontalCentered="1"/>
  <pageMargins left="0" right="0" top="0.35433070866141736" bottom="7.874015748031496E-2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10</vt:i4>
      </vt:variant>
    </vt:vector>
  </HeadingPairs>
  <TitlesOfParts>
    <vt:vector size="27" baseType="lpstr">
      <vt:lpstr>HyFloAPI</vt:lpstr>
      <vt:lpstr>Feuil1</vt:lpstr>
      <vt:lpstr>Feuil2</vt:lpstr>
      <vt:lpstr>Feuil7</vt:lpstr>
      <vt:lpstr>Feuil9</vt:lpstr>
      <vt:lpstr>Feuil8</vt:lpstr>
      <vt:lpstr>PIGAZ</vt:lpstr>
      <vt:lpstr>Commun Infrastructrure</vt:lpstr>
      <vt:lpstr>Equi broui tact</vt:lpstr>
      <vt:lpstr>Commutation Télépho</vt:lpstr>
      <vt:lpstr>Energie et Maintenance</vt:lpstr>
      <vt:lpstr>Travaux Téléphonique</vt:lpstr>
      <vt:lpstr>Pédagogique et Didactique</vt:lpstr>
      <vt:lpstr>Antenne Pylone</vt:lpstr>
      <vt:lpstr>Accessoir piles batterie</vt:lpstr>
      <vt:lpstr>Visioconférence</vt:lpstr>
      <vt:lpstr>Réseau Interconnexion à Fib </vt:lpstr>
      <vt:lpstr>'Accessoir piles batterie'!Zone_d_impression</vt:lpstr>
      <vt:lpstr>'Antenne Pylone'!Zone_d_impression</vt:lpstr>
      <vt:lpstr>'Commun Infrastructrure'!Zone_d_impression</vt:lpstr>
      <vt:lpstr>'Commutation Télépho'!Zone_d_impression</vt:lpstr>
      <vt:lpstr>'Energie et Maintenance'!Zone_d_impression</vt:lpstr>
      <vt:lpstr>'Equi broui tact'!Zone_d_impression</vt:lpstr>
      <vt:lpstr>'Pédagogique et Didactique'!Zone_d_impression</vt:lpstr>
      <vt:lpstr>'Réseau Interconnexion à Fib '!Zone_d_impression</vt:lpstr>
      <vt:lpstr>'Travaux Téléphonique'!Zone_d_impression</vt:lpstr>
      <vt:lpstr>Visioconférence!Zone_d_impression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2025-08-25T10:28:07Z</dcterms:created>
  <dcterms:modified xsi:type="dcterms:W3CDTF">2026-01-10T21:10:21Z</dcterms:modified>
</cp:coreProperties>
</file>