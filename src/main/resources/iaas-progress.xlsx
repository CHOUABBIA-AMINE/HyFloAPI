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"/>
    </mc:Choice>
  </mc:AlternateContent>
  <xr:revisionPtr revIDLastSave="0" documentId="13_ncr:1_{11431695-9658-44D2-AF31-E33A172E737F}" xr6:coauthVersionLast="47" xr6:coauthVersionMax="47" xr10:uidLastSave="{00000000-0000-0000-0000-000000000000}"/>
  <bookViews>
    <workbookView xWindow="-110" yWindow="-110" windowWidth="19420" windowHeight="10420" tabRatio="835" xr2:uid="{00000000-000D-0000-FFFF-FFFF00000000}"/>
  </bookViews>
  <sheets>
    <sheet name="HyFloAPI" sheetId="19" r:id="rId1"/>
    <sheet name="Commun Infrastructrure" sheetId="2" state="hidden" r:id="rId2"/>
    <sheet name="Equi broui tact" sheetId="3" state="hidden" r:id="rId3"/>
    <sheet name="Commutation Télépho" sheetId="4" state="hidden" r:id="rId4"/>
    <sheet name="Energie et Maintenance" sheetId="5" state="hidden" r:id="rId5"/>
    <sheet name="Travaux Téléphonique" sheetId="6" state="hidden" r:id="rId6"/>
    <sheet name="Pédagogique et Didactique" sheetId="7" state="hidden" r:id="rId7"/>
    <sheet name="Antenne Pylone" sheetId="8" state="hidden" r:id="rId8"/>
    <sheet name="Accessoir piles batterie" sheetId="9" state="hidden" r:id="rId9"/>
    <sheet name="Visioconférence" sheetId="10" state="hidden" r:id="rId10"/>
    <sheet name="Réseau Interconnexion à Fib " sheetId="11" state="hidden" r:id="rId11"/>
  </sheets>
  <definedNames>
    <definedName name="_xlnm._FilterDatabase" localSheetId="0" hidden="1">HyFloAPI!$A$2:$T$76</definedName>
    <definedName name="aaaa" localSheetId="8">#REF!</definedName>
    <definedName name="aaaa" localSheetId="7">#REF!</definedName>
    <definedName name="aaaa" localSheetId="1">#REF!</definedName>
    <definedName name="aaaa" localSheetId="3">#REF!</definedName>
    <definedName name="aaaa" localSheetId="4">#REF!</definedName>
    <definedName name="aaaa" localSheetId="2">#REF!</definedName>
    <definedName name="aaaa" localSheetId="6">#REF!</definedName>
    <definedName name="aaaa" localSheetId="10">#REF!</definedName>
    <definedName name="aaaa" localSheetId="5">#REF!</definedName>
    <definedName name="aaaa" localSheetId="9">#REF!</definedName>
    <definedName name="aaaa">#REF!</definedName>
    <definedName name="b" localSheetId="8">#REF!</definedName>
    <definedName name="b" localSheetId="7">#REF!</definedName>
    <definedName name="b" localSheetId="1">#REF!</definedName>
    <definedName name="b" localSheetId="3">#REF!</definedName>
    <definedName name="b" localSheetId="4">#REF!</definedName>
    <definedName name="b" localSheetId="2">#REF!</definedName>
    <definedName name="b" localSheetId="6">#REF!</definedName>
    <definedName name="b" localSheetId="10">#REF!</definedName>
    <definedName name="b" localSheetId="5">#REF!</definedName>
    <definedName name="b" localSheetId="9">#REF!</definedName>
    <definedName name="b">#REF!</definedName>
    <definedName name="_xlnm.Database" localSheetId="8">#REF!</definedName>
    <definedName name="_xlnm.Database" localSheetId="7">#REF!</definedName>
    <definedName name="_xlnm.Database" localSheetId="1">#REF!</definedName>
    <definedName name="_xlnm.Database" localSheetId="3">#REF!</definedName>
    <definedName name="_xlnm.Database" localSheetId="4">#REF!</definedName>
    <definedName name="_xlnm.Database" localSheetId="2">#REF!</definedName>
    <definedName name="_xlnm.Database" localSheetId="6">#REF!</definedName>
    <definedName name="_xlnm.Database" localSheetId="10">#REF!</definedName>
    <definedName name="_xlnm.Database" localSheetId="5">#REF!</definedName>
    <definedName name="_xlnm.Database" localSheetId="9">#REF!</definedName>
    <definedName name="_xlnm.Database">#REF!</definedName>
    <definedName name="consolidation" localSheetId="3">#REF!</definedName>
    <definedName name="consolidation" localSheetId="2">#REF!</definedName>
    <definedName name="consolidation" localSheetId="10">#REF!</definedName>
    <definedName name="consolidation" localSheetId="9">#REF!</definedName>
    <definedName name="consolidation">#REF!</definedName>
    <definedName name="fvg" localSheetId="8">#REF!</definedName>
    <definedName name="fvg" localSheetId="3">#REF!</definedName>
    <definedName name="fvg" localSheetId="2">#REF!</definedName>
    <definedName name="fvg" localSheetId="10">#REF!</definedName>
    <definedName name="fvg" localSheetId="9">#REF!</definedName>
    <definedName name="fvg">#REF!</definedName>
    <definedName name="HTML_CodePage" hidden="1">1256</definedName>
    <definedName name="HTML_Control" localSheetId="8" hidden="1">{"'PLAN2002'!$B$1:$U$67","'PLAN2002'!$Q$46"}</definedName>
    <definedName name="HTML_Control" localSheetId="7" hidden="1">{"'PLAN2002'!$B$1:$U$67","'PLAN2002'!$Q$46"}</definedName>
    <definedName name="HTML_Control" localSheetId="1" hidden="1">{"'PLAN2002'!$B$1:$U$67","'PLAN2002'!$Q$46"}</definedName>
    <definedName name="HTML_Control" localSheetId="3" hidden="1">{"'PLAN2002'!$B$1:$U$67","'PLAN2002'!$Q$46"}</definedName>
    <definedName name="HTML_Control" localSheetId="4" hidden="1">{"'PLAN2002'!$B$1:$U$67","'PLAN2002'!$Q$46"}</definedName>
    <definedName name="HTML_Control" localSheetId="2" hidden="1">{"'PLAN2002'!$B$1:$U$67","'PLAN2002'!$Q$46"}</definedName>
    <definedName name="HTML_Control" localSheetId="6" hidden="1">{"'PLAN2002'!$B$1:$U$67","'PLAN2002'!$Q$46"}</definedName>
    <definedName name="HTML_Control" localSheetId="10" hidden="1">{"'PLAN2002'!$B$1:$U$67","'PLAN2002'!$Q$46"}</definedName>
    <definedName name="HTML_Control" localSheetId="5" hidden="1">{"'PLAN2002'!$B$1:$U$67","'PLAN2002'!$Q$46"}</definedName>
    <definedName name="HTML_Control" localSheetId="9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8">'Accessoir piles batterie'!$A$1:$E$30</definedName>
    <definedName name="_xlnm.Print_Area" localSheetId="7">'Antenne Pylone'!$A$1:$E$4</definedName>
    <definedName name="_xlnm.Print_Area" localSheetId="1">'Commun Infrastructrure'!$A$1:$E$25</definedName>
    <definedName name="_xlnm.Print_Area" localSheetId="3">'Commutation Télépho'!$A$1:$E$63</definedName>
    <definedName name="_xlnm.Print_Area" localSheetId="4">'Energie et Maintenance'!$A$1:$E$43</definedName>
    <definedName name="_xlnm.Print_Area" localSheetId="2">'Equi broui tact'!$A$1:$E$3</definedName>
    <definedName name="_xlnm.Print_Area" localSheetId="6">'Pédagogique et Didactique'!$A$1:$E$13</definedName>
    <definedName name="_xlnm.Print_Area" localSheetId="10">'Réseau Interconnexion à Fib '!$A$1:$E$17</definedName>
    <definedName name="_xlnm.Print_Area" localSheetId="5">'Travaux Téléphonique'!$A$1:$E$4</definedName>
    <definedName name="_xlnm.Print_Area" localSheetId="9">Visioconférence!$A$1:$E$7</definedName>
  </definedNames>
  <calcPr calcId="191029" iterateCount="15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" i="19" l="1"/>
  <c r="I17" i="19"/>
  <c r="I36" i="19"/>
  <c r="I47" i="19"/>
  <c r="I46" i="19"/>
  <c r="I45" i="19"/>
  <c r="I44" i="19"/>
  <c r="I24" i="19" l="1"/>
  <c r="I27" i="19"/>
  <c r="I28" i="19"/>
  <c r="I29" i="19"/>
  <c r="I18" i="19"/>
  <c r="I16" i="19"/>
  <c r="I31" i="19"/>
  <c r="I32" i="19"/>
  <c r="I33" i="19"/>
  <c r="I23" i="19"/>
  <c r="I25" i="19"/>
  <c r="I34" i="19"/>
  <c r="I35" i="19"/>
  <c r="I26" i="19"/>
  <c r="I30" i="19"/>
  <c r="I37" i="19"/>
  <c r="I38" i="19"/>
  <c r="I39" i="19"/>
  <c r="I40" i="19"/>
  <c r="I41" i="19"/>
  <c r="I42" i="19"/>
  <c r="I43" i="19"/>
  <c r="I48" i="19"/>
  <c r="I15" i="19"/>
  <c r="I10" i="19" l="1"/>
  <c r="I4" i="19" l="1"/>
  <c r="I5" i="19"/>
  <c r="I6" i="19"/>
  <c r="I7" i="19"/>
  <c r="I8" i="19"/>
  <c r="I9" i="19"/>
  <c r="I3" i="19"/>
  <c r="I12" i="19"/>
  <c r="I13" i="19"/>
  <c r="I14" i="19"/>
  <c r="I11" i="19"/>
  <c r="I19" i="19"/>
  <c r="I20" i="19"/>
  <c r="I21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BP</author>
  </authors>
  <commentList>
    <comment ref="B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<sst xmlns="http://schemas.openxmlformats.org/spreadsheetml/2006/main" count="467" uniqueCount="294">
  <si>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</si>
  <si>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</si>
  <si>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</si>
  <si>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</si>
  <si>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</si>
  <si>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</si>
  <si>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</si>
  <si>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</si>
  <si>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</si>
  <si>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</si>
  <si>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</si>
  <si>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</si>
  <si>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</si>
  <si>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</si>
  <si>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</si>
  <si>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</si>
  <si>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</si>
  <si>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</si>
  <si>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</si>
  <si>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</si>
  <si>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</si>
  <si>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</si>
  <si>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</si>
  <si>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</si>
  <si>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</si>
  <si>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</si>
  <si>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</si>
  <si>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</si>
  <si>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</si>
  <si>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</si>
  <si>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</si>
  <si>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</si>
  <si>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</si>
  <si>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</si>
  <si>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</si>
  <si>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</si>
  <si>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</si>
  <si>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</si>
  <si>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</si>
  <si>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</si>
  <si>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</si>
  <si>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</si>
  <si>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</si>
  <si>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</si>
  <si>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</si>
  <si>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</si>
  <si>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</si>
  <si>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</si>
  <si>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</si>
  <si>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</si>
  <si>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</si>
  <si>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</si>
  <si>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</si>
  <si>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</si>
  <si>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</si>
  <si>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</si>
  <si>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</si>
  <si>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</si>
  <si>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</si>
  <si>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</si>
  <si>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</si>
  <si>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</si>
  <si>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</si>
  <si>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</si>
  <si>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</si>
  <si>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</si>
  <si>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</si>
  <si>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</si>
  <si>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</si>
  <si>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</si>
  <si>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</si>
  <si>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</si>
  <si>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</si>
  <si>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</si>
  <si>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</si>
  <si>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</si>
  <si>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</si>
  <si>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</si>
  <si>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</si>
  <si>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</si>
  <si>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</si>
  <si>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</si>
  <si>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</si>
  <si>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</si>
  <si>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</si>
  <si>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</si>
  <si>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</si>
  <si>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</si>
  <si>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</si>
  <si>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</si>
  <si>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</si>
  <si>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</si>
  <si>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</si>
  <si>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</si>
  <si>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</si>
  <si>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</si>
  <si>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</si>
  <si>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</si>
  <si>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</si>
  <si>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</si>
  <si>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</si>
  <si>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</si>
  <si>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</si>
  <si>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</si>
  <si>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</si>
  <si>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</si>
  <si>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</si>
  <si>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</si>
  <si>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</si>
  <si>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</si>
  <si>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</si>
  <si>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</si>
  <si>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</si>
  <si>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</si>
  <si>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</si>
  <si>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</si>
  <si>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</si>
  <si>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</si>
  <si>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</si>
  <si>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</si>
  <si>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</si>
  <si>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</si>
  <si>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</si>
  <si>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</si>
  <si>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</si>
  <si>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</si>
  <si>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</si>
  <si>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</si>
  <si>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</si>
  <si>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</si>
  <si>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</si>
  <si>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</si>
  <si>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</si>
  <si>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</si>
  <si>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</si>
  <si>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</si>
  <si>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</si>
  <si>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</si>
  <si>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</si>
  <si>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</si>
  <si>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</si>
  <si>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</si>
  <si>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</si>
  <si>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</si>
  <si>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</si>
  <si>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</si>
  <si>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</si>
  <si>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</si>
  <si>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</si>
  <si>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</si>
  <si>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</si>
  <si>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</si>
  <si>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</si>
  <si>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</si>
  <si>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</si>
  <si>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</si>
  <si>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</si>
  <si>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</si>
  <si>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</si>
  <si>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</si>
  <si>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</si>
  <si>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</si>
  <si>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</si>
  <si>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</si>
  <si>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</si>
  <si>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</si>
  <si>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</si>
  <si>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</si>
  <si>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</si>
  <si>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</si>
  <si>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</si>
  <si>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</si>
  <si>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</si>
  <si>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</si>
  <si>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</si>
  <si>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</si>
  <si>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</si>
  <si>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</si>
  <si>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</si>
  <si>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</si>
  <si>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</si>
  <si>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</si>
  <si>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</si>
  <si>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</si>
  <si>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</si>
  <si>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</si>
  <si>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</si>
  <si>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</si>
  <si>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</si>
  <si>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</si>
  <si>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</si>
  <si>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</si>
  <si>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</si>
  <si>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</si>
  <si>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</si>
  <si>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</si>
  <si>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</si>
  <si>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</si>
  <si>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</si>
  <si>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</si>
  <si>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</si>
  <si>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</si>
  <si>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</si>
  <si>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</si>
  <si>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</si>
  <si>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</si>
  <si>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</si>
  <si>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</si>
  <si>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</si>
  <si>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</si>
  <si>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</si>
  <si>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</si>
  <si>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</si>
  <si>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</si>
  <si>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</si>
  <si>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</si>
  <si>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</si>
  <si>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</si>
  <si>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</si>
  <si>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</si>
  <si>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</si>
  <si>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</si>
  <si>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</si>
  <si>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</si>
  <si>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</si>
  <si>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</si>
  <si>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utility</t>
  </si>
  <si>
    <t>File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</si>
  <si>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</si>
  <si>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</si>
  <si>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</si>
  <si>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</si>
  <si>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</si>
  <si>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</si>
  <si>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</si>
  <si>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</si>
  <si>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</si>
  <si>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</si>
  <si>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</si>
  <si>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</si>
  <si>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</si>
  <si>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</si>
  <si>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</si>
  <si>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</si>
  <si>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</si>
  <si>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</si>
  <si>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</si>
  <si>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</si>
  <si>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</si>
  <si>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</si>
  <si>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</si>
  <si>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</si>
  <si>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authentication</t>
  </si>
  <si>
    <t>RefreshToken</t>
  </si>
  <si>
    <t>network</t>
  </si>
  <si>
    <t>Zone</t>
  </si>
  <si>
    <t>Region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</si>
  <si>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</si>
  <si>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</si>
  <si>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</si>
  <si>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</si>
  <si>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</si>
  <si>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</si>
  <si>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</si>
  <si>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</si>
  <si>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</si>
  <si>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</si>
  <si>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</si>
  <si>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</si>
  <si>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</si>
  <si>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</si>
  <si>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</si>
  <si>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</si>
  <si>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</si>
  <si>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</si>
  <si>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</si>
  <si>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</si>
  <si>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</si>
  <si>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</si>
  <si>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</si>
  <si>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</si>
  <si>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</si>
  <si>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</si>
  <si>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</si>
  <si>
    <t>Test</t>
  </si>
  <si>
    <t>flow</t>
  </si>
  <si>
    <t>FlowVolume</t>
  </si>
  <si>
    <t>MeasurementHour</t>
  </si>
  <si>
    <t>FlowPressure</t>
  </si>
  <si>
    <t>FlowTransported</t>
  </si>
  <si>
    <t>organization</t>
  </si>
  <si>
    <t>localization</t>
  </si>
  <si>
    <t>general</t>
  </si>
  <si>
    <t>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</si>
</sst>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.00\ _€"/>
    <numFmt numFmtId="166" formatCode="_-* #,##0.00\ _€_-;\-* #,##0.00\ _€_-;_-* &quot;-&quot;??\ _€_-;_-@_-"/>
  </numFmts>
  <fonts count="18" x14ac:knownFonts="1">
    <font>
      <sz val="11"/>
      <color theme="1"/>
      <name val="Arial Narrow"/>
      <family val="2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6" fontId="6" fillId="0" borderId="0" applyFont="0" applyFill="0" applyBorder="0" applyAlignment="0" applyProtection="0"/>
    <xf numFmtId="0" fontId="1" fillId="0" borderId="0"/>
    <xf numFmtId="0" fontId="6" fillId="0" borderId="0"/>
    <xf numFmtId="0" fontId="11" fillId="0" borderId="0"/>
    <xf numFmtId="166" fontId="6" fillId="0" borderId="0" applyFont="0" applyFill="0" applyBorder="0" applyAlignment="0" applyProtection="0"/>
    <xf numFmtId="0" fontId="1" fillId="0" borderId="0"/>
  </cellStyleXfs>
  <cellXfs count="87">
    <xf numFmtId="0" fontId="0" fillId="0" borderId="0" xfId="0"/>
    <xf numFmtId="0" fontId="2" fillId="0" borderId="0" xfId="2" applyFont="1" applyAlignment="1">
      <alignment vertical="center" wrapText="1"/>
    </xf>
    <xf numFmtId="0" fontId="3" fillId="0" borderId="0" xfId="2" applyFont="1" applyFill="1" applyAlignment="1">
      <alignment vertical="center"/>
    </xf>
    <xf numFmtId="4" fontId="3" fillId="0" borderId="0" xfId="2" applyNumberFormat="1" applyFont="1" applyFill="1" applyAlignment="1">
      <alignment vertical="center"/>
    </xf>
    <xf numFmtId="0" fontId="5" fillId="0" borderId="0" xfId="2" applyFont="1" applyFill="1" applyAlignment="1">
      <alignment vertical="center"/>
    </xf>
    <xf numFmtId="164" fontId="5" fillId="0" borderId="1" xfId="3" applyNumberFormat="1" applyFont="1" applyFill="1" applyBorder="1" applyAlignment="1">
      <alignment horizontal="center" vertical="center" wrapText="1"/>
    </xf>
    <xf numFmtId="0" fontId="5" fillId="0" borderId="3" xfId="3" applyFont="1" applyFill="1" applyBorder="1" applyAlignment="1">
      <alignment horizontal="left" vertical="center" wrapText="1" readingOrder="1"/>
    </xf>
    <xf numFmtId="164" fontId="5" fillId="0" borderId="3" xfId="2" applyNumberFormat="1" applyFont="1" applyFill="1" applyBorder="1" applyAlignment="1">
      <alignment horizontal="center" vertical="center" wrapText="1"/>
    </xf>
    <xf numFmtId="164" fontId="7" fillId="0" borderId="3" xfId="2" applyNumberFormat="1" applyFont="1" applyFill="1" applyBorder="1" applyAlignment="1">
      <alignment horizontal="center" vertical="center" wrapText="1"/>
    </xf>
    <xf numFmtId="166" fontId="5" fillId="0" borderId="3" xfId="1" applyFont="1" applyFill="1" applyBorder="1" applyAlignment="1">
      <alignment horizontal="center" vertical="center"/>
    </xf>
    <xf numFmtId="166" fontId="4" fillId="0" borderId="4" xfId="1" applyFont="1" applyFill="1" applyBorder="1" applyAlignment="1">
      <alignment horizontal="center" vertical="center"/>
    </xf>
    <xf numFmtId="4" fontId="5" fillId="0" borderId="0" xfId="2" applyNumberFormat="1" applyFont="1" applyFill="1" applyBorder="1" applyAlignment="1">
      <alignment vertical="center"/>
    </xf>
    <xf numFmtId="0" fontId="5" fillId="0" borderId="0" xfId="2" applyFont="1" applyFill="1" applyBorder="1" applyAlignment="1">
      <alignment vertical="center"/>
    </xf>
    <xf numFmtId="164" fontId="4" fillId="0" borderId="3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166" fontId="4" fillId="0" borderId="7" xfId="1" applyFont="1" applyFill="1" applyBorder="1" applyAlignment="1">
      <alignment horizontal="center" vertical="center"/>
    </xf>
    <xf numFmtId="166" fontId="5" fillId="0" borderId="8" xfId="1" applyFont="1" applyFill="1" applyBorder="1" applyAlignment="1">
      <alignment horizontal="center" vertical="center"/>
    </xf>
    <xf numFmtId="166" fontId="4" fillId="0" borderId="10" xfId="1" applyFont="1" applyFill="1" applyBorder="1" applyAlignment="1">
      <alignment horizontal="center" vertical="center"/>
    </xf>
    <xf numFmtId="166" fontId="4" fillId="0" borderId="0" xfId="1" applyFont="1" applyFill="1" applyBorder="1" applyAlignment="1">
      <alignment horizontal="center" vertical="center"/>
    </xf>
    <xf numFmtId="165" fontId="9" fillId="0" borderId="0" xfId="2" applyNumberFormat="1" applyFont="1" applyFill="1" applyBorder="1" applyAlignment="1">
      <alignment horizontal="left" vertical="center" wrapText="1"/>
    </xf>
    <xf numFmtId="165" fontId="8" fillId="0" borderId="0" xfId="2" applyNumberFormat="1" applyFont="1" applyFill="1" applyBorder="1" applyAlignment="1">
      <alignment horizontal="left" vertical="center" wrapText="1"/>
    </xf>
    <xf numFmtId="0" fontId="10" fillId="0" borderId="0" xfId="2" applyFont="1" applyFill="1" applyBorder="1" applyAlignment="1">
      <alignment vertical="center"/>
    </xf>
    <xf numFmtId="166" fontId="4" fillId="0" borderId="0" xfId="1" applyFont="1" applyAlignment="1">
      <alignment horizontal="center" vertical="center"/>
    </xf>
    <xf numFmtId="166" fontId="4" fillId="0" borderId="0" xfId="1" applyFont="1" applyFill="1" applyAlignment="1">
      <alignment horizontal="center" vertical="center" wrapText="1"/>
    </xf>
    <xf numFmtId="166" fontId="4" fillId="0" borderId="0" xfId="1" applyFont="1" applyFill="1" applyAlignment="1">
      <alignment horizontal="center" vertical="center"/>
    </xf>
    <xf numFmtId="0" fontId="3" fillId="0" borderId="0" xfId="2" applyFont="1" applyAlignment="1">
      <alignment vertical="center"/>
    </xf>
    <xf numFmtId="0" fontId="8" fillId="0" borderId="0" xfId="2" applyFont="1" applyFill="1" applyAlignment="1">
      <alignment vertical="center" wrapText="1"/>
    </xf>
    <xf numFmtId="166" fontId="3" fillId="0" borderId="0" xfId="2" applyNumberFormat="1" applyFont="1" applyFill="1" applyAlignment="1">
      <alignment vertical="center"/>
    </xf>
    <xf numFmtId="164" fontId="5" fillId="0" borderId="1" xfId="4" applyNumberFormat="1" applyFont="1" applyFill="1" applyBorder="1" applyAlignment="1">
      <alignment horizontal="center" vertical="center" wrapText="1"/>
    </xf>
    <xf numFmtId="0" fontId="5" fillId="0" borderId="3" xfId="4" applyFont="1" applyFill="1" applyBorder="1" applyAlignment="1">
      <alignment horizontal="left" vertical="center" wrapText="1" readingOrder="1"/>
    </xf>
    <xf numFmtId="164" fontId="5" fillId="0" borderId="9" xfId="4" applyNumberFormat="1" applyFont="1" applyFill="1" applyBorder="1" applyAlignment="1">
      <alignment horizontal="center" vertical="center" wrapText="1"/>
    </xf>
    <xf numFmtId="0" fontId="5" fillId="0" borderId="8" xfId="4" applyFont="1" applyFill="1" applyBorder="1" applyAlignment="1">
      <alignment horizontal="left" vertical="center" wrapText="1" readingOrder="1"/>
    </xf>
    <xf numFmtId="164" fontId="4" fillId="0" borderId="8" xfId="2" applyNumberFormat="1" applyFont="1" applyFill="1" applyBorder="1" applyAlignment="1">
      <alignment horizontal="center" vertical="center" wrapText="1"/>
    </xf>
    <xf numFmtId="0" fontId="8" fillId="0" borderId="0" xfId="2" applyFont="1" applyFill="1" applyBorder="1" applyAlignment="1">
      <alignment vertical="center" wrapText="1"/>
    </xf>
    <xf numFmtId="0" fontId="3" fillId="0" borderId="0" xfId="2" applyFont="1" applyFill="1" applyBorder="1" applyAlignment="1">
      <alignment vertical="center"/>
    </xf>
    <xf numFmtId="166" fontId="5" fillId="0" borderId="0" xfId="1" applyFont="1" applyAlignment="1">
      <alignment vertical="center"/>
    </xf>
    <xf numFmtId="166" fontId="5" fillId="0" borderId="0" xfId="1" applyFont="1" applyFill="1" applyBorder="1" applyAlignment="1">
      <alignment vertical="center" wrapText="1"/>
    </xf>
    <xf numFmtId="166" fontId="5" fillId="0" borderId="0" xfId="1" applyFont="1" applyFill="1" applyBorder="1" applyAlignment="1">
      <alignment vertical="center"/>
    </xf>
    <xf numFmtId="166" fontId="5" fillId="0" borderId="0" xfId="1" applyFont="1" applyFill="1" applyAlignment="1">
      <alignment vertical="center"/>
    </xf>
    <xf numFmtId="166" fontId="5" fillId="0" borderId="0" xfId="2" applyNumberFormat="1" applyFont="1" applyFill="1" applyBorder="1" applyAlignment="1">
      <alignment vertical="center"/>
    </xf>
    <xf numFmtId="166" fontId="12" fillId="0" borderId="3" xfId="1" applyFont="1" applyFill="1" applyBorder="1" applyAlignment="1">
      <alignment horizontal="center" vertical="center"/>
    </xf>
    <xf numFmtId="166" fontId="4" fillId="0" borderId="3" xfId="1" applyFont="1" applyFill="1" applyBorder="1" applyAlignment="1">
      <alignment horizontal="center" vertical="center"/>
    </xf>
    <xf numFmtId="0" fontId="5" fillId="0" borderId="2" xfId="4" applyFont="1" applyFill="1" applyBorder="1" applyAlignment="1">
      <alignment horizontal="left" vertical="center" wrapText="1" readingOrder="1"/>
    </xf>
    <xf numFmtId="164" fontId="4" fillId="0" borderId="2" xfId="2" applyNumberFormat="1" applyFont="1" applyFill="1" applyBorder="1" applyAlignment="1">
      <alignment horizontal="center" vertical="center" wrapText="1"/>
    </xf>
    <xf numFmtId="166" fontId="4" fillId="0" borderId="2" xfId="1" applyFont="1" applyFill="1" applyBorder="1" applyAlignment="1">
      <alignment horizontal="center" vertical="center"/>
    </xf>
    <xf numFmtId="4" fontId="15" fillId="0" borderId="0" xfId="2" applyNumberFormat="1" applyFont="1" applyFill="1" applyBorder="1" applyAlignment="1">
      <alignment vertical="center"/>
    </xf>
    <xf numFmtId="0" fontId="15" fillId="0" borderId="0" xfId="2" applyFont="1" applyFill="1" applyBorder="1" applyAlignment="1">
      <alignment vertical="center"/>
    </xf>
    <xf numFmtId="0" fontId="16" fillId="0" borderId="3" xfId="4" applyFont="1" applyFill="1" applyBorder="1" applyAlignment="1">
      <alignment horizontal="left" vertical="center" wrapText="1" readingOrder="1"/>
    </xf>
    <xf numFmtId="164" fontId="5" fillId="2" borderId="1" xfId="4" applyNumberFormat="1" applyFont="1" applyFill="1" applyBorder="1" applyAlignment="1">
      <alignment horizontal="center" vertical="center" wrapText="1"/>
    </xf>
    <xf numFmtId="0" fontId="16" fillId="2" borderId="3" xfId="4" applyFont="1" applyFill="1" applyBorder="1" applyAlignment="1">
      <alignment horizontal="left" vertical="center" wrapText="1" readingOrder="1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5" fillId="2" borderId="3" xfId="4" applyFont="1" applyFill="1" applyBorder="1" applyAlignment="1">
      <alignment horizontal="left" vertical="center" wrapText="1" readingOrder="1"/>
    </xf>
    <xf numFmtId="0" fontId="5" fillId="2" borderId="2" xfId="4" applyFont="1" applyFill="1" applyBorder="1" applyAlignment="1">
      <alignment horizontal="left" vertical="center" wrapText="1" readingOrder="1"/>
    </xf>
    <xf numFmtId="0" fontId="5" fillId="0" borderId="3" xfId="2" applyFont="1" applyFill="1" applyBorder="1" applyAlignment="1">
      <alignment vertical="center"/>
    </xf>
    <xf numFmtId="166" fontId="4" fillId="0" borderId="8" xfId="1" applyFont="1" applyFill="1" applyBorder="1" applyAlignment="1">
      <alignment horizontal="center" vertical="center"/>
    </xf>
    <xf numFmtId="0" fontId="4" fillId="0" borderId="0" xfId="2" applyFont="1" applyAlignment="1">
      <alignment vertical="center"/>
    </xf>
    <xf numFmtId="0" fontId="4" fillId="0" borderId="0" xfId="2" applyFont="1" applyFill="1" applyAlignment="1">
      <alignment vertical="center" wrapText="1"/>
    </xf>
    <xf numFmtId="0" fontId="4" fillId="0" borderId="0" xfId="2" applyFont="1" applyFill="1" applyAlignment="1">
      <alignment vertical="center"/>
    </xf>
    <xf numFmtId="166" fontId="4" fillId="0" borderId="0" xfId="2" applyNumberFormat="1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4" fillId="0" borderId="0" xfId="2" applyFont="1" applyFill="1" applyBorder="1" applyAlignment="1">
      <alignment vertical="center"/>
    </xf>
    <xf numFmtId="164" fontId="5" fillId="0" borderId="1" xfId="4" applyNumberFormat="1" applyFont="1" applyBorder="1" applyAlignment="1">
      <alignment horizontal="center" vertical="center" wrapText="1"/>
    </xf>
    <xf numFmtId="166" fontId="4" fillId="0" borderId="0" xfId="1" applyFont="1" applyAlignment="1">
      <alignment vertical="center"/>
    </xf>
    <xf numFmtId="166" fontId="4" fillId="0" borderId="0" xfId="1" applyFont="1" applyFill="1" applyAlignment="1">
      <alignment vertical="center" wrapText="1"/>
    </xf>
    <xf numFmtId="166" fontId="4" fillId="0" borderId="0" xfId="1" applyFont="1" applyFill="1" applyAlignment="1">
      <alignment vertical="center"/>
    </xf>
    <xf numFmtId="164" fontId="5" fillId="2" borderId="3" xfId="4" applyNumberFormat="1" applyFont="1" applyFill="1" applyBorder="1" applyAlignment="1">
      <alignment horizontal="left" vertical="center" wrapText="1"/>
    </xf>
    <xf numFmtId="0" fontId="5" fillId="2" borderId="3" xfId="3" applyFont="1" applyFill="1" applyBorder="1" applyAlignment="1">
      <alignment horizontal="left" vertical="center" wrapText="1" readingOrder="1"/>
    </xf>
    <xf numFmtId="166" fontId="5" fillId="2" borderId="3" xfId="1" applyFont="1" applyFill="1" applyBorder="1" applyAlignment="1">
      <alignment horizontal="center" vertical="center"/>
    </xf>
    <xf numFmtId="0" fontId="5" fillId="2" borderId="0" xfId="2" applyFont="1" applyFill="1" applyAlignment="1">
      <alignment vertical="center"/>
    </xf>
    <xf numFmtId="164" fontId="4" fillId="2" borderId="3" xfId="2" applyNumberFormat="1" applyFont="1" applyFill="1" applyBorder="1" applyAlignment="1">
      <alignment horizontal="center" vertical="center" wrapText="1"/>
    </xf>
    <xf numFmtId="166" fontId="5" fillId="2" borderId="6" xfId="1" applyFont="1" applyFill="1" applyBorder="1" applyAlignment="1">
      <alignment horizontal="center" vertical="center"/>
    </xf>
    <xf numFmtId="166" fontId="4" fillId="2" borderId="3" xfId="1" applyFont="1" applyFill="1" applyBorder="1" applyAlignment="1">
      <alignment horizontal="center" vertical="center"/>
    </xf>
    <xf numFmtId="166" fontId="5" fillId="2" borderId="0" xfId="2" applyNumberFormat="1" applyFont="1" applyFill="1" applyAlignment="1">
      <alignment vertical="center"/>
    </xf>
    <xf numFmtId="0" fontId="8" fillId="0" borderId="3" xfId="4" applyFont="1" applyFill="1" applyBorder="1" applyAlignment="1">
      <alignment horizontal="left" vertical="center" wrapText="1" readingOrder="1"/>
    </xf>
    <xf numFmtId="166" fontId="5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12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164" fontId="4" fillId="2" borderId="5" xfId="4" applyNumberFormat="1" applyFont="1" applyFill="1" applyBorder="1" applyAlignment="1">
      <alignment horizontal="left" vertical="center" wrapText="1"/>
    </xf>
    <xf numFmtId="164" fontId="4" fillId="2" borderId="11" xfId="4" applyNumberFormat="1" applyFont="1" applyFill="1" applyBorder="1" applyAlignment="1">
      <alignment horizontal="left" vertical="center" wrapText="1"/>
    </xf>
  </cellXfs>
  <cellStyles count="7">
    <cellStyle name="Milliers" xfId="1" builtinId="3"/>
    <cellStyle name="Milliers 2 2" xfId="5" xr:uid="{00000000-0005-0000-0000-000001000000}"/>
    <cellStyle name="Normal" xfId="0" builtinId="0"/>
    <cellStyle name="Normal 2" xfId="4" xr:uid="{00000000-0005-0000-0000-000003000000}"/>
    <cellStyle name="Normal 2 2" xfId="3" xr:uid="{00000000-0005-0000-0000-000004000000}"/>
    <cellStyle name="Normal 9 2" xfId="6" xr:uid="{00000000-0005-0000-0000-000005000000}"/>
    <cellStyle name="Normal_R2PARTITION 2007-2009" xfId="2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U48"/>
  <sheetViews>
    <sheetView tabSelected="1" topLeftCell="E1" workbookViewId="0">
      <pane ySplit="2" topLeftCell="A15" activePane="bottomLeft" state="frozen"/>
      <selection pane="bottomLeft" activeCell="J17" sqref="J17:P17"/>
    </sheetView>
  </sheetViews>
  <sheetFormatPr baseColWidth="10" defaultRowHeight="14" x14ac:dyDescent="0.3"/>
  <cols>
    <col min="1" max="1" width="4.69921875" customWidth="1"/>
    <col min="2" max="2" width="20.69921875" customWidth="1"/>
    <col min="3" max="3" width="8.69921875" customWidth="1"/>
    <col min="4" max="4" width="20.69921875" customWidth="1"/>
    <col min="5" max="5" width="8.69921875" customWidth="1"/>
    <col min="6" max="6" width="20.69921875" customWidth="1"/>
    <col min="7" max="7" width="8.69921875" customWidth="1"/>
    <col min="8" max="8" width="10.69921875" customWidth="1"/>
    <col min="9" max="9" width="15.69921875" customWidth="1"/>
    <col min="10" max="20" width="10.69921875" customWidth="1"/>
  </cols>
  <sheetData>
    <row r="1" spans="1:21" ht="25" customHeight="1" x14ac:dyDescent="0.3">
      <c r="H1" s="81" t="s">
        <v>251</v>
      </c>
      <c r="I1" s="81"/>
      <c r="J1" s="81"/>
      <c r="K1" s="82" t="s">
        <v>250</v>
      </c>
      <c r="L1" s="83"/>
      <c r="M1" s="83"/>
      <c r="N1" s="83"/>
      <c r="O1" s="83"/>
      <c r="P1" s="84"/>
      <c r="Q1" s="81" t="s">
        <v>249</v>
      </c>
      <c r="R1" s="81"/>
      <c r="S1" s="81"/>
      <c r="T1" s="81"/>
    </row>
    <row r="2" spans="1:21" ht="2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235</v>
      </c>
      <c r="I2" s="78" t="s">
        <v>238</v>
      </c>
      <c r="J2" s="78" t="s">
        <v>239</v>
      </c>
      <c r="K2" s="78" t="s">
        <v>242</v>
      </c>
      <c r="L2" s="78" t="s">
        <v>243</v>
      </c>
      <c r="M2" s="78" t="s">
        <v>244</v>
      </c>
      <c r="N2" s="78" t="s">
        <v>245</v>
      </c>
      <c r="O2" s="78" t="s">
        <v>246</v>
      </c>
      <c r="P2" s="80" t="s">
        <v>284</v>
      </c>
      <c r="Q2" s="78" t="s">
        <v>247</v>
      </c>
      <c r="R2" s="78" t="s">
        <v>245</v>
      </c>
      <c r="S2" s="78" t="s">
        <v>246</v>
      </c>
      <c r="T2" s="78" t="s">
        <v>248</v>
      </c>
    </row>
    <row r="3" spans="1:21" ht="25" customHeight="1" x14ac:dyDescent="0.3">
      <c r="A3" s="76">
        <v>1</v>
      </c>
      <c r="B3" s="77" t="s">
        <v>240</v>
      </c>
      <c r="C3" s="76">
        <v>0</v>
      </c>
      <c r="D3" s="77" t="s">
        <v>226</v>
      </c>
      <c r="E3" s="76">
        <v>1</v>
      </c>
      <c r="F3" s="77" t="s">
        <v>227</v>
      </c>
      <c r="G3" s="76">
        <v>1</v>
      </c>
      <c r="H3" s="76" t="s">
        <v>236</v>
      </c>
      <c r="I3" s="76" t="str">
        <f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/>
      <c r="Q3" s="76"/>
      <c r="R3" s="76"/>
      <c r="S3" s="76"/>
      <c r="T3" s="76"/>
    </row>
    <row r="4" spans="1:21" ht="25" customHeight="1" x14ac:dyDescent="0.3">
      <c r="A4" s="76">
        <v>2</v>
      </c>
      <c r="B4" s="77" t="s">
        <v>240</v>
      </c>
      <c r="C4" s="76">
        <v>0</v>
      </c>
      <c r="D4" s="77" t="s">
        <v>228</v>
      </c>
      <c r="E4" s="76">
        <v>2</v>
      </c>
      <c r="F4" s="77" t="s">
        <v>230</v>
      </c>
      <c r="G4" s="76">
        <v>1</v>
      </c>
      <c r="H4" s="76" t="s">
        <v>236</v>
      </c>
      <c r="I4" s="76" t="str">
        <f>CONCATENATE("T_","0",C4,"_0",E4,"_0",G4)</f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>
        <v>1</v>
      </c>
      <c r="Q4" s="76"/>
      <c r="R4" s="76"/>
      <c r="S4" s="76"/>
      <c r="T4" s="76"/>
    </row>
    <row r="5" spans="1:21" ht="25" customHeight="1" x14ac:dyDescent="0.3">
      <c r="A5" s="76">
        <v>3</v>
      </c>
      <c r="B5" s="77" t="s">
        <v>240</v>
      </c>
      <c r="C5" s="76">
        <v>0</v>
      </c>
      <c r="D5" s="77" t="s">
        <v>228</v>
      </c>
      <c r="E5" s="76">
        <v>2</v>
      </c>
      <c r="F5" s="77" t="s">
        <v>231</v>
      </c>
      <c r="G5" s="76">
        <v>2</v>
      </c>
      <c r="H5" s="76" t="s">
        <v>236</v>
      </c>
      <c r="I5" s="76" t="str">
        <f>CONCATENATE("T_","0",C5,"_0",E5,"_0",G5)</f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>
        <v>1</v>
      </c>
      <c r="Q5" s="76"/>
      <c r="R5" s="76"/>
      <c r="S5" s="76"/>
      <c r="T5" s="76"/>
    </row>
    <row r="6" spans="1:21" ht="25" customHeight="1" x14ac:dyDescent="0.3">
      <c r="A6" s="76">
        <v>4</v>
      </c>
      <c r="B6" s="77" t="s">
        <v>240</v>
      </c>
      <c r="C6" s="76">
        <v>0</v>
      </c>
      <c r="D6" s="77" t="s">
        <v>228</v>
      </c>
      <c r="E6" s="76">
        <v>2</v>
      </c>
      <c r="F6" s="77" t="s">
        <v>232</v>
      </c>
      <c r="G6" s="76">
        <v>3</v>
      </c>
      <c r="H6" s="76" t="s">
        <v>236</v>
      </c>
      <c r="I6" s="76" t="str">
        <f>CONCATENATE("T_","0",C6,"_0",E6,"_0",G6)</f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>
        <v>1</v>
      </c>
      <c r="Q6" s="76"/>
      <c r="R6" s="76"/>
      <c r="S6" s="76"/>
      <c r="T6" s="76"/>
    </row>
    <row r="7" spans="1:21" ht="25" customHeight="1" x14ac:dyDescent="0.3">
      <c r="A7" s="76">
        <v>5</v>
      </c>
      <c r="B7" s="77" t="s">
        <v>240</v>
      </c>
      <c r="C7" s="76">
        <v>0</v>
      </c>
      <c r="D7" s="77" t="s">
        <v>228</v>
      </c>
      <c r="E7" s="76">
        <v>2</v>
      </c>
      <c r="F7" s="77" t="s">
        <v>233</v>
      </c>
      <c r="G7" s="76">
        <v>4</v>
      </c>
      <c r="H7" s="76" t="s">
        <v>237</v>
      </c>
      <c r="I7" s="76" t="str">
        <f>CONCATENATE("T_","0",C7,"_0",E7,"_0",G7)</f>
        <v>T_00_02_04</v>
      </c>
      <c r="J7" s="76">
        <v>1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>
        <v>1</v>
      </c>
      <c r="Q7" s="76"/>
      <c r="R7" s="76"/>
      <c r="S7" s="76"/>
      <c r="T7" s="76"/>
    </row>
    <row r="8" spans="1:21" ht="25" customHeight="1" x14ac:dyDescent="0.3">
      <c r="A8" s="76">
        <v>6</v>
      </c>
      <c r="B8" s="77" t="s">
        <v>240</v>
      </c>
      <c r="C8" s="76">
        <v>0</v>
      </c>
      <c r="D8" s="77" t="s">
        <v>228</v>
      </c>
      <c r="E8" s="76">
        <v>2</v>
      </c>
      <c r="F8" s="77" t="s">
        <v>234</v>
      </c>
      <c r="G8" s="76">
        <v>5</v>
      </c>
      <c r="H8" s="76" t="s">
        <v>237</v>
      </c>
      <c r="I8" s="76" t="str">
        <f>CONCATENATE("T_","0",C8,"_0",E8,"_0",G8)</f>
        <v>T_00_02_05</v>
      </c>
      <c r="J8" s="76">
        <v>1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>
        <v>1</v>
      </c>
      <c r="Q8" s="76"/>
      <c r="R8" s="76"/>
      <c r="S8" s="76"/>
      <c r="T8" s="76"/>
    </row>
    <row r="9" spans="1:21" ht="25" customHeight="1" x14ac:dyDescent="0.3">
      <c r="A9" s="76">
        <v>7</v>
      </c>
      <c r="B9" s="77" t="s">
        <v>240</v>
      </c>
      <c r="C9" s="76">
        <v>0</v>
      </c>
      <c r="D9" s="77" t="s">
        <v>229</v>
      </c>
      <c r="E9" s="76">
        <v>3</v>
      </c>
      <c r="F9" s="79" t="s">
        <v>283</v>
      </c>
      <c r="G9" s="76">
        <v>1</v>
      </c>
      <c r="H9" s="76" t="s">
        <v>236</v>
      </c>
      <c r="I9" s="76" t="str">
        <f>CONCATENATE("T_","0",C9,"_0",E9,"_0",G9)</f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/>
      <c r="Q9" s="76"/>
      <c r="R9" s="76"/>
      <c r="S9" s="76"/>
      <c r="T9" s="76"/>
    </row>
    <row r="10" spans="1:21" ht="25" customHeight="1" x14ac:dyDescent="0.3">
      <c r="A10" s="76">
        <v>8</v>
      </c>
      <c r="B10" s="77" t="s">
        <v>240</v>
      </c>
      <c r="C10" s="76">
        <v>0</v>
      </c>
      <c r="D10" s="77" t="s">
        <v>252</v>
      </c>
      <c r="E10" s="76">
        <v>4</v>
      </c>
      <c r="F10" s="79" t="s">
        <v>253</v>
      </c>
      <c r="G10" s="76">
        <v>1</v>
      </c>
      <c r="H10" s="76" t="s">
        <v>236</v>
      </c>
      <c r="I10" s="76" t="str">
        <f>CONCATENATE("T_","0",C10,"_0",E10,"_0",G10)</f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/>
      <c r="Q10" s="76"/>
      <c r="R10" s="76"/>
      <c r="S10" s="76"/>
      <c r="T10" s="76"/>
    </row>
    <row r="11" spans="1:21" ht="25" customHeight="1" x14ac:dyDescent="0.3">
      <c r="A11" s="76">
        <v>26</v>
      </c>
      <c r="B11" s="77" t="s">
        <v>292</v>
      </c>
      <c r="C11" s="76">
        <v>1</v>
      </c>
      <c r="D11" s="77" t="s">
        <v>281</v>
      </c>
      <c r="E11" s="76">
        <v>1</v>
      </c>
      <c r="F11" s="77" t="s">
        <v>222</v>
      </c>
      <c r="G11" s="76">
        <v>1</v>
      </c>
      <c r="H11" s="76" t="s">
        <v>237</v>
      </c>
      <c r="I11" s="76" t="str">
        <f>CONCATENATE("T_","0",C11,"_0",E11,"_0",G11)</f>
        <v>T_01_01_01</v>
      </c>
      <c r="J11" s="76">
        <v>1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>
        <v>1</v>
      </c>
      <c r="Q11" s="76"/>
      <c r="R11" s="76"/>
      <c r="S11" s="76"/>
      <c r="T11" s="76"/>
    </row>
    <row r="12" spans="1:21" ht="25" customHeight="1" x14ac:dyDescent="0.3">
      <c r="A12" s="76">
        <v>21</v>
      </c>
      <c r="B12" s="77" t="s">
        <v>292</v>
      </c>
      <c r="C12" s="76">
        <v>1</v>
      </c>
      <c r="D12" s="77" t="s">
        <v>291</v>
      </c>
      <c r="E12" s="76">
        <v>2</v>
      </c>
      <c r="F12" s="77" t="s">
        <v>218</v>
      </c>
      <c r="G12" s="76">
        <v>2</v>
      </c>
      <c r="H12" s="76" t="s">
        <v>237</v>
      </c>
      <c r="I12" s="76" t="str">
        <f>CONCATENATE("T_","0",C12,"_0",E12,"_0",G12)</f>
        <v>T_01_02_02</v>
      </c>
      <c r="J12" s="76">
        <v>1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>
        <v>1</v>
      </c>
      <c r="Q12" s="76"/>
      <c r="R12" s="76"/>
      <c r="S12" s="76"/>
      <c r="T12" s="76"/>
    </row>
    <row r="13" spans="1:21" ht="25" customHeight="1" x14ac:dyDescent="0.3">
      <c r="A13" s="76">
        <v>22</v>
      </c>
      <c r="B13" s="77" t="s">
        <v>292</v>
      </c>
      <c r="C13" s="76">
        <v>1</v>
      </c>
      <c r="D13" s="77" t="s">
        <v>291</v>
      </c>
      <c r="E13" s="76">
        <v>2</v>
      </c>
      <c r="F13" s="77" t="s">
        <v>219</v>
      </c>
      <c r="G13" s="76">
        <v>3</v>
      </c>
      <c r="H13" s="76" t="s">
        <v>237</v>
      </c>
      <c r="I13" s="76" t="str">
        <f>CONCATENATE("T_","0",C13,"_0",E13,"_0",G13)</f>
        <v>T_01_02_03</v>
      </c>
      <c r="J13" s="76">
        <v>1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>
        <v>1</v>
      </c>
      <c r="Q13" s="76"/>
      <c r="R13" s="76"/>
      <c r="S13" s="76"/>
      <c r="T13" s="76"/>
    </row>
    <row r="14" spans="1:21" ht="25" customHeight="1" x14ac:dyDescent="0.3">
      <c r="A14" s="76">
        <v>23</v>
      </c>
      <c r="B14" s="77" t="s">
        <v>292</v>
      </c>
      <c r="C14" s="76">
        <v>1</v>
      </c>
      <c r="D14" s="77" t="s">
        <v>291</v>
      </c>
      <c r="E14" s="76">
        <v>2</v>
      </c>
      <c r="F14" s="77" t="s">
        <v>220</v>
      </c>
      <c r="G14" s="76">
        <v>4</v>
      </c>
      <c r="H14" s="76" t="s">
        <v>237</v>
      </c>
      <c r="I14" s="76" t="str">
        <f>CONCATENATE("T_","0",C14,"_0",E14,"_0",G14)</f>
        <v>T_01_02_04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>
        <v>1</v>
      </c>
      <c r="Q14" s="76"/>
      <c r="R14" s="76"/>
      <c r="S14" s="76"/>
      <c r="T14" s="76"/>
    </row>
    <row r="15" spans="1:21" ht="25" customHeight="1" x14ac:dyDescent="0.3">
      <c r="A15" s="76">
        <v>74</v>
      </c>
      <c r="B15" s="77" t="s">
        <v>292</v>
      </c>
      <c r="C15" s="76">
        <v>1</v>
      </c>
      <c r="D15" s="77" t="s">
        <v>291</v>
      </c>
      <c r="E15" s="76">
        <v>2</v>
      </c>
      <c r="F15" s="77" t="s">
        <v>255</v>
      </c>
      <c r="G15" s="76">
        <v>1</v>
      </c>
      <c r="H15" s="76" t="s">
        <v>237</v>
      </c>
      <c r="I15" s="76" t="str">
        <f>CONCATENATE("T_","0",C15,"_0",E15,"_0",G15)</f>
        <v>T_01_02_01</v>
      </c>
      <c r="J15" s="76">
        <v>1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>
        <v>1</v>
      </c>
      <c r="Q15" s="76"/>
      <c r="R15" s="76"/>
      <c r="S15" s="76"/>
      <c r="T15" s="76"/>
    </row>
    <row r="16" spans="1:21" ht="25" customHeight="1" x14ac:dyDescent="0.3">
      <c r="A16" s="76">
        <v>76</v>
      </c>
      <c r="B16" s="77" t="s">
        <v>292</v>
      </c>
      <c r="C16" s="76">
        <v>1</v>
      </c>
      <c r="D16" s="77" t="s">
        <v>291</v>
      </c>
      <c r="E16" s="76">
        <v>2</v>
      </c>
      <c r="F16" s="77" t="s">
        <v>257</v>
      </c>
      <c r="G16" s="76">
        <v>5</v>
      </c>
      <c r="H16" s="76" t="s">
        <v>236</v>
      </c>
      <c r="I16" s="76" t="str">
        <f>CONCATENATE("T_","0",C16,"_0",E16,"_0",G16)</f>
        <v>T_01_02_05</v>
      </c>
      <c r="J16" s="76">
        <v>0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>
        <v>1</v>
      </c>
      <c r="Q16" s="76"/>
      <c r="R16" s="76"/>
      <c r="S16" s="76"/>
      <c r="T16" s="76"/>
      <c r="U16" t="s">
        <v>274</v>
      </c>
    </row>
    <row r="17" spans="1:21" ht="25" customHeight="1" x14ac:dyDescent="0.3">
      <c r="A17" s="76"/>
      <c r="B17" s="77" t="s">
        <v>292</v>
      </c>
      <c r="C17" s="76">
        <v>1</v>
      </c>
      <c r="D17" s="77" t="s">
        <v>290</v>
      </c>
      <c r="E17" s="76">
        <v>3</v>
      </c>
      <c r="F17" s="77" t="s">
        <v>293</v>
      </c>
      <c r="G17" s="76">
        <v>1</v>
      </c>
      <c r="H17" s="76" t="s">
        <v>237</v>
      </c>
      <c r="I17" s="76" t="str">
        <f>CONCATENATE("T_","0",C17,"_0",E17,"_0",G17)</f>
        <v>T_01_03_01</v>
      </c>
      <c r="J17" s="76">
        <v>0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>
        <v>1</v>
      </c>
      <c r="Q17" s="76"/>
      <c r="R17" s="76"/>
      <c r="S17" s="76"/>
      <c r="T17" s="76"/>
    </row>
    <row r="18" spans="1:21" ht="25" customHeight="1" x14ac:dyDescent="0.3">
      <c r="A18" s="76">
        <v>75</v>
      </c>
      <c r="B18" s="77" t="s">
        <v>292</v>
      </c>
      <c r="C18" s="76">
        <v>1</v>
      </c>
      <c r="D18" s="77" t="s">
        <v>290</v>
      </c>
      <c r="E18" s="76">
        <v>3</v>
      </c>
      <c r="F18" s="77" t="s">
        <v>256</v>
      </c>
      <c r="G18" s="76">
        <v>2</v>
      </c>
      <c r="H18" s="76" t="s">
        <v>236</v>
      </c>
      <c r="I18" s="76" t="str">
        <f>CONCATENATE("T_","0",C18,"_0",E18,"_0",G18)</f>
        <v>T_01_03_02</v>
      </c>
      <c r="J18" s="76">
        <v>1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>
        <v>1</v>
      </c>
      <c r="Q18" s="76"/>
      <c r="R18" s="76"/>
      <c r="S18" s="76"/>
      <c r="T18" s="76"/>
    </row>
    <row r="19" spans="1:21" ht="25" customHeight="1" x14ac:dyDescent="0.3">
      <c r="A19" s="76">
        <v>27</v>
      </c>
      <c r="B19" s="77" t="s">
        <v>292</v>
      </c>
      <c r="C19" s="76">
        <v>1</v>
      </c>
      <c r="D19" s="77" t="s">
        <v>290</v>
      </c>
      <c r="E19" s="76">
        <v>3</v>
      </c>
      <c r="F19" s="77" t="s">
        <v>221</v>
      </c>
      <c r="G19" s="76">
        <v>3</v>
      </c>
      <c r="H19" s="76" t="s">
        <v>236</v>
      </c>
      <c r="I19" s="76" t="str">
        <f>CONCATENATE("T_","0",C19,"_0",E19,"_0",G19)</f>
        <v>T_01_03_03</v>
      </c>
      <c r="J19" s="76">
        <v>1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>
        <v>1</v>
      </c>
      <c r="Q19" s="76"/>
      <c r="R19" s="76"/>
      <c r="S19" s="76"/>
      <c r="T19" s="76"/>
      <c r="U19" t="s">
        <v>273</v>
      </c>
    </row>
    <row r="20" spans="1:21" ht="25" customHeight="1" x14ac:dyDescent="0.3">
      <c r="A20" s="76">
        <v>28</v>
      </c>
      <c r="B20" s="77" t="s">
        <v>292</v>
      </c>
      <c r="C20" s="76">
        <v>1</v>
      </c>
      <c r="D20" s="77" t="s">
        <v>290</v>
      </c>
      <c r="E20" s="76">
        <v>3</v>
      </c>
      <c r="F20" s="77" t="s">
        <v>223</v>
      </c>
      <c r="G20" s="76">
        <v>4</v>
      </c>
      <c r="H20" s="76" t="s">
        <v>236</v>
      </c>
      <c r="I20" s="76" t="str">
        <f>CONCATENATE("T_","0",C20,"_0",E20,"_0",G20)</f>
        <v>T_01_03_04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>
        <v>1</v>
      </c>
      <c r="Q20" s="76"/>
      <c r="R20" s="76"/>
      <c r="S20" s="76"/>
      <c r="T20" s="76"/>
    </row>
    <row r="21" spans="1:21" ht="25" customHeight="1" x14ac:dyDescent="0.3">
      <c r="A21" s="76">
        <v>29</v>
      </c>
      <c r="B21" s="77" t="s">
        <v>292</v>
      </c>
      <c r="C21" s="76">
        <v>1</v>
      </c>
      <c r="D21" s="77" t="s">
        <v>290</v>
      </c>
      <c r="E21" s="76">
        <v>3</v>
      </c>
      <c r="F21" s="77" t="s">
        <v>225</v>
      </c>
      <c r="G21" s="76">
        <v>5</v>
      </c>
      <c r="H21" s="76" t="s">
        <v>236</v>
      </c>
      <c r="I21" s="76" t="str">
        <f>CONCATENATE("T_","0",C21,"_0",E21,"_0",G21)</f>
        <v>T_01_03_05</v>
      </c>
      <c r="J21" s="76">
        <v>1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>
        <v>1</v>
      </c>
      <c r="Q21" s="76"/>
      <c r="R21" s="76"/>
      <c r="S21" s="76"/>
      <c r="T21" s="76"/>
    </row>
    <row r="22" spans="1:21" ht="25" customHeight="1" x14ac:dyDescent="0.3">
      <c r="A22" s="76">
        <v>30</v>
      </c>
      <c r="B22" s="77" t="s">
        <v>292</v>
      </c>
      <c r="C22" s="76">
        <v>1</v>
      </c>
      <c r="D22" s="77" t="s">
        <v>290</v>
      </c>
      <c r="E22" s="76">
        <v>3</v>
      </c>
      <c r="F22" s="79" t="s">
        <v>224</v>
      </c>
      <c r="G22" s="76">
        <v>6</v>
      </c>
      <c r="H22" s="76" t="s">
        <v>236</v>
      </c>
      <c r="I22" s="76" t="str">
        <f>CONCATENATE("T_","0",C22,"_0",E22,"_0",G22)</f>
        <v>T_01_03_06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>
        <v>1</v>
      </c>
      <c r="Q22" s="76"/>
      <c r="R22" s="76"/>
      <c r="S22" s="76"/>
      <c r="T22" s="76"/>
    </row>
    <row r="23" spans="1:21" ht="25" customHeight="1" x14ac:dyDescent="0.3">
      <c r="A23" s="76">
        <v>66</v>
      </c>
      <c r="B23" s="77" t="s">
        <v>254</v>
      </c>
      <c r="C23" s="76">
        <v>2</v>
      </c>
      <c r="D23" s="77" t="s">
        <v>281</v>
      </c>
      <c r="E23" s="76">
        <v>1</v>
      </c>
      <c r="F23" s="77" t="s">
        <v>275</v>
      </c>
      <c r="G23" s="76">
        <v>1</v>
      </c>
      <c r="H23" s="76" t="s">
        <v>237</v>
      </c>
      <c r="I23" s="76" t="str">
        <f>CONCATENATE("T_","0",C23,"_0",E23,"_0",G23)</f>
        <v>T_02_01_01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>
        <v>1</v>
      </c>
      <c r="Q23" s="76"/>
      <c r="R23" s="76"/>
      <c r="S23" s="76"/>
      <c r="T23" s="76"/>
    </row>
    <row r="24" spans="1:21" ht="25" customHeight="1" x14ac:dyDescent="0.3">
      <c r="A24" s="76">
        <v>67</v>
      </c>
      <c r="B24" s="77" t="s">
        <v>254</v>
      </c>
      <c r="C24" s="76">
        <v>2</v>
      </c>
      <c r="D24" s="77" t="s">
        <v>281</v>
      </c>
      <c r="E24" s="76">
        <v>1</v>
      </c>
      <c r="F24" s="77" t="s">
        <v>280</v>
      </c>
      <c r="G24" s="76">
        <v>2</v>
      </c>
      <c r="H24" s="76" t="s">
        <v>237</v>
      </c>
      <c r="I24" s="76" t="str">
        <f>CONCATENATE("T_","0",C24,"_0",E24,"_0",G24)</f>
        <v>T_02_01_02</v>
      </c>
      <c r="J24" s="76">
        <v>1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>
        <v>1</v>
      </c>
      <c r="Q24" s="76"/>
      <c r="R24" s="76"/>
      <c r="S24" s="76"/>
      <c r="T24" s="76"/>
    </row>
    <row r="25" spans="1:21" ht="25" customHeight="1" x14ac:dyDescent="0.3">
      <c r="A25" s="76">
        <v>68</v>
      </c>
      <c r="B25" s="77" t="s">
        <v>254</v>
      </c>
      <c r="C25" s="76">
        <v>2</v>
      </c>
      <c r="D25" s="77" t="s">
        <v>281</v>
      </c>
      <c r="E25" s="76">
        <v>1</v>
      </c>
      <c r="F25" s="77" t="s">
        <v>276</v>
      </c>
      <c r="G25" s="76">
        <v>3</v>
      </c>
      <c r="H25" s="76" t="s">
        <v>237</v>
      </c>
      <c r="I25" s="76" t="str">
        <f>CONCATENATE("T_","0",C25,"_0",E25,"_0",G25)</f>
        <v>T_02_01_03</v>
      </c>
      <c r="J25" s="76">
        <v>1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>
        <v>1</v>
      </c>
      <c r="Q25" s="76"/>
      <c r="R25" s="76"/>
      <c r="S25" s="76"/>
      <c r="T25" s="76"/>
    </row>
    <row r="26" spans="1:21" ht="25" customHeight="1" x14ac:dyDescent="0.3">
      <c r="A26" s="76">
        <v>69</v>
      </c>
      <c r="B26" s="77" t="s">
        <v>254</v>
      </c>
      <c r="C26" s="76">
        <v>2</v>
      </c>
      <c r="D26" s="77" t="s">
        <v>281</v>
      </c>
      <c r="E26" s="76">
        <v>1</v>
      </c>
      <c r="F26" s="77" t="s">
        <v>261</v>
      </c>
      <c r="G26" s="76">
        <v>4</v>
      </c>
      <c r="H26" s="76" t="s">
        <v>237</v>
      </c>
      <c r="I26" s="76" t="str">
        <f>CONCATENATE("T_","0",C26,"_0",E26,"_0",G26)</f>
        <v>T_02_01_04</v>
      </c>
      <c r="J26" s="76">
        <v>1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>
        <v>1</v>
      </c>
      <c r="Q26" s="76"/>
      <c r="R26" s="76"/>
      <c r="S26" s="76"/>
      <c r="T26" s="76"/>
    </row>
    <row r="27" spans="1:21" ht="25" customHeight="1" x14ac:dyDescent="0.3">
      <c r="A27" s="76">
        <v>70</v>
      </c>
      <c r="B27" s="77" t="s">
        <v>254</v>
      </c>
      <c r="C27" s="76">
        <v>2</v>
      </c>
      <c r="D27" s="77" t="s">
        <v>281</v>
      </c>
      <c r="E27" s="76">
        <v>1</v>
      </c>
      <c r="F27" s="77" t="s">
        <v>277</v>
      </c>
      <c r="G27" s="76">
        <v>5</v>
      </c>
      <c r="H27" s="76" t="s">
        <v>237</v>
      </c>
      <c r="I27" s="76" t="str">
        <f>CONCATENATE("T_","0",C27,"_0",E27,"_0",G27)</f>
        <v>T_02_01_05</v>
      </c>
      <c r="J27" s="76">
        <v>1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>
        <v>1</v>
      </c>
      <c r="Q27" s="76"/>
      <c r="R27" s="76"/>
      <c r="S27" s="76"/>
      <c r="T27" s="76"/>
    </row>
    <row r="28" spans="1:21" ht="25" customHeight="1" x14ac:dyDescent="0.3">
      <c r="A28" s="76">
        <v>71</v>
      </c>
      <c r="B28" s="77" t="s">
        <v>254</v>
      </c>
      <c r="C28" s="76">
        <v>2</v>
      </c>
      <c r="D28" s="77" t="s">
        <v>281</v>
      </c>
      <c r="E28" s="76">
        <v>1</v>
      </c>
      <c r="F28" s="77" t="s">
        <v>278</v>
      </c>
      <c r="G28" s="76">
        <v>6</v>
      </c>
      <c r="H28" s="76" t="s">
        <v>237</v>
      </c>
      <c r="I28" s="76" t="str">
        <f>CONCATENATE("T_","0",C28,"_0",E28,"_0",G28)</f>
        <v>T_02_01_06</v>
      </c>
      <c r="J28" s="76">
        <v>1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>
        <v>1</v>
      </c>
      <c r="Q28" s="76"/>
      <c r="R28" s="76"/>
      <c r="S28" s="76"/>
      <c r="T28" s="76"/>
    </row>
    <row r="29" spans="1:21" ht="25" customHeight="1" x14ac:dyDescent="0.3">
      <c r="A29" s="76">
        <v>72</v>
      </c>
      <c r="B29" s="77" t="s">
        <v>254</v>
      </c>
      <c r="C29" s="76">
        <v>2</v>
      </c>
      <c r="D29" s="77" t="s">
        <v>281</v>
      </c>
      <c r="E29" s="76">
        <v>1</v>
      </c>
      <c r="F29" s="77" t="s">
        <v>279</v>
      </c>
      <c r="G29" s="76">
        <v>7</v>
      </c>
      <c r="H29" s="76" t="s">
        <v>237</v>
      </c>
      <c r="I29" s="76" t="str">
        <f>CONCATENATE("T_","0",C29,"_0",E29,"_0",G29)</f>
        <v>T_02_01_07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>
        <v>1</v>
      </c>
      <c r="Q29" s="76"/>
      <c r="R29" s="76"/>
      <c r="S29" s="76"/>
      <c r="T29" s="76"/>
    </row>
    <row r="30" spans="1:21" ht="25" customHeight="1" x14ac:dyDescent="0.3">
      <c r="A30" s="76">
        <v>73</v>
      </c>
      <c r="B30" s="77" t="s">
        <v>254</v>
      </c>
      <c r="C30" s="76">
        <v>2</v>
      </c>
      <c r="D30" s="77" t="s">
        <v>281</v>
      </c>
      <c r="E30" s="76">
        <v>1</v>
      </c>
      <c r="F30" s="77" t="s">
        <v>262</v>
      </c>
      <c r="G30" s="76">
        <v>8</v>
      </c>
      <c r="H30" s="76" t="s">
        <v>237</v>
      </c>
      <c r="I30" s="76" t="str">
        <f>CONCATENATE("T_","0",C30,"_0",E30,"_0",G30)</f>
        <v>T_02_01_08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>
        <v>1</v>
      </c>
      <c r="Q30" s="76"/>
      <c r="R30" s="76"/>
      <c r="S30" s="76"/>
      <c r="T30" s="76"/>
    </row>
    <row r="31" spans="1:21" ht="25" customHeight="1" x14ac:dyDescent="0.3">
      <c r="A31" s="76">
        <v>77</v>
      </c>
      <c r="B31" s="77" t="s">
        <v>254</v>
      </c>
      <c r="C31" s="76">
        <v>2</v>
      </c>
      <c r="D31" s="77" t="s">
        <v>217</v>
      </c>
      <c r="E31" s="76">
        <v>2</v>
      </c>
      <c r="F31" s="77" t="s">
        <v>258</v>
      </c>
      <c r="G31" s="76">
        <v>4</v>
      </c>
      <c r="H31" s="76" t="s">
        <v>237</v>
      </c>
      <c r="I31" s="76" t="str">
        <f>CONCATENATE("T_","0",C31,"_0",E31,"_0",G31)</f>
        <v>T_02_02_04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>
        <v>1</v>
      </c>
      <c r="Q31" s="76"/>
      <c r="R31" s="76"/>
      <c r="S31" s="76"/>
      <c r="T31" s="76"/>
    </row>
    <row r="32" spans="1:21" ht="25" customHeight="1" x14ac:dyDescent="0.3">
      <c r="A32" s="76">
        <v>78</v>
      </c>
      <c r="B32" s="77" t="s">
        <v>254</v>
      </c>
      <c r="C32" s="76">
        <v>2</v>
      </c>
      <c r="D32" s="77" t="s">
        <v>217</v>
      </c>
      <c r="E32" s="76">
        <v>2</v>
      </c>
      <c r="F32" s="77" t="s">
        <v>259</v>
      </c>
      <c r="G32" s="76">
        <v>5</v>
      </c>
      <c r="H32" s="76" t="s">
        <v>237</v>
      </c>
      <c r="I32" s="76" t="str">
        <f>CONCATENATE("T_","0",C32,"_0",E32,"_0",G32)</f>
        <v>T_02_02_05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>
        <v>1</v>
      </c>
      <c r="Q32" s="76"/>
      <c r="R32" s="76"/>
      <c r="S32" s="76"/>
      <c r="T32" s="76"/>
    </row>
    <row r="33" spans="1:20" ht="25" customHeight="1" x14ac:dyDescent="0.3">
      <c r="A33" s="76">
        <v>79</v>
      </c>
      <c r="B33" s="77" t="s">
        <v>254</v>
      </c>
      <c r="C33" s="76">
        <v>2</v>
      </c>
      <c r="D33" s="77" t="s">
        <v>217</v>
      </c>
      <c r="E33" s="76">
        <v>2</v>
      </c>
      <c r="F33" s="77" t="s">
        <v>260</v>
      </c>
      <c r="G33" s="76">
        <v>6</v>
      </c>
      <c r="H33" s="76" t="s">
        <v>237</v>
      </c>
      <c r="I33" s="76" t="str">
        <f>CONCATENATE("T_","0",C33,"_0",E33,"_0",G33)</f>
        <v>T_02_02_06</v>
      </c>
      <c r="J33" s="76">
        <v>1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>
        <v>1</v>
      </c>
      <c r="Q33" s="76"/>
      <c r="R33" s="76"/>
      <c r="S33" s="76"/>
      <c r="T33" s="76"/>
    </row>
    <row r="34" spans="1:20" ht="25" customHeight="1" x14ac:dyDescent="0.3">
      <c r="A34" s="76">
        <v>80</v>
      </c>
      <c r="B34" s="77" t="s">
        <v>254</v>
      </c>
      <c r="C34" s="76">
        <v>2</v>
      </c>
      <c r="D34" s="77" t="s">
        <v>217</v>
      </c>
      <c r="E34" s="76">
        <v>2</v>
      </c>
      <c r="F34" s="77" t="s">
        <v>282</v>
      </c>
      <c r="G34" s="76">
        <v>7</v>
      </c>
      <c r="H34" s="76" t="s">
        <v>236</v>
      </c>
      <c r="I34" s="76" t="str">
        <f>CONCATENATE("T_","0",C34,"_0",E34,"_0",G34)</f>
        <v>T_02_02_07</v>
      </c>
      <c r="J34" s="76">
        <v>1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>
        <v>1</v>
      </c>
      <c r="Q34" s="76"/>
      <c r="R34" s="76"/>
      <c r="S34" s="76"/>
      <c r="T34" s="76"/>
    </row>
    <row r="35" spans="1:20" ht="25" customHeight="1" x14ac:dyDescent="0.3">
      <c r="A35" s="76">
        <v>81</v>
      </c>
      <c r="B35" s="77" t="s">
        <v>254</v>
      </c>
      <c r="C35" s="76">
        <v>2</v>
      </c>
      <c r="D35" s="77" t="s">
        <v>217</v>
      </c>
      <c r="E35" s="76">
        <v>2</v>
      </c>
      <c r="F35" s="77" t="s">
        <v>272</v>
      </c>
      <c r="G35" s="76">
        <v>8</v>
      </c>
      <c r="H35" s="76" t="s">
        <v>236</v>
      </c>
      <c r="I35" s="76" t="str">
        <f>CONCATENATE("T_","0",C35,"_0",E35,"_0",G35)</f>
        <v>T_02_02_08</v>
      </c>
      <c r="J35" s="76">
        <v>1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>
        <v>1</v>
      </c>
      <c r="Q35" s="76"/>
      <c r="R35" s="76"/>
      <c r="S35" s="76"/>
      <c r="T35" s="76"/>
    </row>
    <row r="36" spans="1:20" ht="25" customHeight="1" x14ac:dyDescent="0.3">
      <c r="A36" s="76">
        <v>82</v>
      </c>
      <c r="B36" s="77" t="s">
        <v>254</v>
      </c>
      <c r="C36" s="76">
        <v>2</v>
      </c>
      <c r="D36" s="77" t="s">
        <v>241</v>
      </c>
      <c r="E36" s="76">
        <v>5</v>
      </c>
      <c r="F36" s="77" t="s">
        <v>263</v>
      </c>
      <c r="G36" s="76">
        <v>1</v>
      </c>
      <c r="H36" s="76" t="s">
        <v>236</v>
      </c>
      <c r="I36" s="76" t="str">
        <f>CONCATENATE("T_","0",C36,"_0",E36,"_0",G36)</f>
        <v>T_02_05_01</v>
      </c>
      <c r="J36" s="76">
        <v>1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>
        <v>1</v>
      </c>
      <c r="Q36" s="76"/>
      <c r="R36" s="76"/>
      <c r="S36" s="76"/>
      <c r="T36" s="76"/>
    </row>
    <row r="37" spans="1:20" ht="25" customHeight="1" x14ac:dyDescent="0.3">
      <c r="A37" s="76">
        <v>83</v>
      </c>
      <c r="B37" s="77" t="s">
        <v>254</v>
      </c>
      <c r="C37" s="76">
        <v>2</v>
      </c>
      <c r="D37" s="77" t="s">
        <v>241</v>
      </c>
      <c r="E37" s="76">
        <v>5</v>
      </c>
      <c r="F37" s="77" t="s">
        <v>264</v>
      </c>
      <c r="G37" s="76">
        <v>2</v>
      </c>
      <c r="H37" s="76" t="s">
        <v>236</v>
      </c>
      <c r="I37" s="76" t="str">
        <f>CONCATENATE("T_","0",C37,"_0",E37,"_0",G37)</f>
        <v>T_02_05_02</v>
      </c>
      <c r="J37" s="76">
        <v>1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>
        <v>1</v>
      </c>
      <c r="Q37" s="76"/>
      <c r="R37" s="76"/>
      <c r="S37" s="76"/>
      <c r="T37" s="76"/>
    </row>
    <row r="38" spans="1:20" ht="25" customHeight="1" x14ac:dyDescent="0.3">
      <c r="A38" s="76">
        <v>84</v>
      </c>
      <c r="B38" s="77" t="s">
        <v>254</v>
      </c>
      <c r="C38" s="76">
        <v>2</v>
      </c>
      <c r="D38" s="77" t="s">
        <v>241</v>
      </c>
      <c r="E38" s="76">
        <v>5</v>
      </c>
      <c r="F38" s="77" t="s">
        <v>265</v>
      </c>
      <c r="G38" s="76">
        <v>3</v>
      </c>
      <c r="H38" s="76" t="s">
        <v>236</v>
      </c>
      <c r="I38" s="76" t="str">
        <f>CONCATENATE("T_","0",C38,"_0",E38,"_0",G38)</f>
        <v>T_02_05_03</v>
      </c>
      <c r="J38" s="76">
        <v>1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>
        <v>1</v>
      </c>
      <c r="Q38" s="76"/>
      <c r="R38" s="76"/>
      <c r="S38" s="76"/>
      <c r="T38" s="76"/>
    </row>
    <row r="39" spans="1:20" ht="25" customHeight="1" x14ac:dyDescent="0.3">
      <c r="A39" s="76">
        <v>85</v>
      </c>
      <c r="B39" s="77" t="s">
        <v>254</v>
      </c>
      <c r="C39" s="76">
        <v>2</v>
      </c>
      <c r="D39" s="77" t="s">
        <v>241</v>
      </c>
      <c r="E39" s="76">
        <v>5</v>
      </c>
      <c r="F39" s="77" t="s">
        <v>266</v>
      </c>
      <c r="G39" s="76">
        <v>4</v>
      </c>
      <c r="H39" s="76" t="s">
        <v>236</v>
      </c>
      <c r="I39" s="76" t="str">
        <f>CONCATENATE("T_","0",C39,"_0",E39,"_0",G39)</f>
        <v>T_02_05_04</v>
      </c>
      <c r="J39" s="76">
        <v>1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>
        <v>1</v>
      </c>
      <c r="Q39" s="76"/>
      <c r="R39" s="76"/>
      <c r="S39" s="76"/>
      <c r="T39" s="76"/>
    </row>
    <row r="40" spans="1:20" ht="25" customHeight="1" x14ac:dyDescent="0.3">
      <c r="A40" s="76">
        <v>86</v>
      </c>
      <c r="B40" s="77" t="s">
        <v>254</v>
      </c>
      <c r="C40" s="76">
        <v>2</v>
      </c>
      <c r="D40" s="77" t="s">
        <v>241</v>
      </c>
      <c r="E40" s="76">
        <v>5</v>
      </c>
      <c r="F40" s="77" t="s">
        <v>267</v>
      </c>
      <c r="G40" s="76">
        <v>5</v>
      </c>
      <c r="H40" s="76" t="s">
        <v>236</v>
      </c>
      <c r="I40" s="76" t="str">
        <f>CONCATENATE("T_","0",C40,"_0",E40,"_0",G40)</f>
        <v>T_02_05_05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>
        <v>1</v>
      </c>
      <c r="Q40" s="76"/>
      <c r="R40" s="76"/>
      <c r="S40" s="76"/>
      <c r="T40" s="76"/>
    </row>
    <row r="41" spans="1:20" ht="25" customHeight="1" x14ac:dyDescent="0.3">
      <c r="A41" s="76">
        <v>87</v>
      </c>
      <c r="B41" s="77" t="s">
        <v>254</v>
      </c>
      <c r="C41" s="76">
        <v>2</v>
      </c>
      <c r="D41" s="77" t="s">
        <v>241</v>
      </c>
      <c r="E41" s="76">
        <v>5</v>
      </c>
      <c r="F41" s="77" t="s">
        <v>268</v>
      </c>
      <c r="G41" s="76">
        <v>6</v>
      </c>
      <c r="H41" s="76" t="s">
        <v>236</v>
      </c>
      <c r="I41" s="76" t="str">
        <f>CONCATENATE("T_","0",C41,"_0",E41,"_0",G41)</f>
        <v>T_02_05_06</v>
      </c>
      <c r="J41" s="76">
        <v>1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>
        <v>1</v>
      </c>
      <c r="Q41" s="76"/>
      <c r="R41" s="76"/>
      <c r="S41" s="76"/>
      <c r="T41" s="76"/>
    </row>
    <row r="42" spans="1:20" ht="25" customHeight="1" x14ac:dyDescent="0.3">
      <c r="A42" s="76">
        <v>88</v>
      </c>
      <c r="B42" s="77" t="s">
        <v>254</v>
      </c>
      <c r="C42" s="76">
        <v>2</v>
      </c>
      <c r="D42" s="77" t="s">
        <v>241</v>
      </c>
      <c r="E42" s="76">
        <v>5</v>
      </c>
      <c r="F42" s="77" t="s">
        <v>269</v>
      </c>
      <c r="G42" s="76">
        <v>7</v>
      </c>
      <c r="H42" s="76" t="s">
        <v>236</v>
      </c>
      <c r="I42" s="76" t="str">
        <f>CONCATENATE("T_","0",C42,"_0",E42,"_0",G42)</f>
        <v>T_02_05_07</v>
      </c>
      <c r="J42" s="76">
        <v>1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>
        <v>1</v>
      </c>
      <c r="Q42" s="76"/>
      <c r="R42" s="76"/>
      <c r="S42" s="76"/>
      <c r="T42" s="76"/>
    </row>
    <row r="43" spans="1:20" ht="25" customHeight="1" x14ac:dyDescent="0.3">
      <c r="A43" s="76">
        <v>89</v>
      </c>
      <c r="B43" s="77" t="s">
        <v>254</v>
      </c>
      <c r="C43" s="76">
        <v>2</v>
      </c>
      <c r="D43" s="77" t="s">
        <v>241</v>
      </c>
      <c r="E43" s="76">
        <v>5</v>
      </c>
      <c r="F43" s="77" t="s">
        <v>270</v>
      </c>
      <c r="G43" s="76">
        <v>8</v>
      </c>
      <c r="H43" s="76" t="s">
        <v>236</v>
      </c>
      <c r="I43" s="76" t="str">
        <f>CONCATENATE("T_","0",C43,"_0",E43,"_0",G43)</f>
        <v>T_02_05_08</v>
      </c>
      <c r="J43" s="76">
        <v>1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>
        <v>1</v>
      </c>
      <c r="Q43" s="76"/>
      <c r="R43" s="76"/>
      <c r="S43" s="76"/>
      <c r="T43" s="76"/>
    </row>
    <row r="44" spans="1:20" ht="25" customHeight="1" x14ac:dyDescent="0.3">
      <c r="A44" s="76">
        <v>90</v>
      </c>
      <c r="B44" s="77" t="s">
        <v>254</v>
      </c>
      <c r="C44" s="76">
        <v>2</v>
      </c>
      <c r="D44" s="77" t="s">
        <v>241</v>
      </c>
      <c r="E44" s="76">
        <v>5</v>
      </c>
      <c r="F44" s="77" t="s">
        <v>271</v>
      </c>
      <c r="G44" s="76">
        <v>9</v>
      </c>
      <c r="H44" s="76" t="s">
        <v>236</v>
      </c>
      <c r="I44" s="76" t="str">
        <f>CONCATENATE("T_","0",C44,"_0",E44,"_0",G44)</f>
        <v>T_02_05_09</v>
      </c>
      <c r="J44" s="76">
        <v>1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>
        <v>1</v>
      </c>
      <c r="Q44" s="76"/>
      <c r="R44" s="76"/>
      <c r="S44" s="76"/>
      <c r="T44" s="76"/>
    </row>
    <row r="45" spans="1:20" ht="25" customHeight="1" x14ac:dyDescent="0.3">
      <c r="A45" s="76">
        <v>91</v>
      </c>
      <c r="B45" s="77" t="s">
        <v>254</v>
      </c>
      <c r="C45" s="76">
        <v>2</v>
      </c>
      <c r="D45" s="77" t="s">
        <v>285</v>
      </c>
      <c r="E45" s="76">
        <v>6</v>
      </c>
      <c r="F45" s="77" t="s">
        <v>287</v>
      </c>
      <c r="G45" s="76">
        <v>1</v>
      </c>
      <c r="H45" s="76" t="s">
        <v>237</v>
      </c>
      <c r="I45" s="76" t="str">
        <f>CONCATENATE("T_","0",C45,"_0",E45,"_0",G45)</f>
        <v>T_02_06_01</v>
      </c>
      <c r="J45" s="76">
        <v>0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>
        <v>0</v>
      </c>
      <c r="Q45" s="76"/>
      <c r="R45" s="76"/>
      <c r="S45" s="76"/>
      <c r="T45" s="76"/>
    </row>
    <row r="46" spans="1:20" ht="25" customHeight="1" x14ac:dyDescent="0.3">
      <c r="A46" s="76">
        <v>92</v>
      </c>
      <c r="B46" s="77" t="s">
        <v>254</v>
      </c>
      <c r="C46" s="76">
        <v>2</v>
      </c>
      <c r="D46" s="77" t="s">
        <v>285</v>
      </c>
      <c r="E46" s="76">
        <v>6</v>
      </c>
      <c r="F46" s="77" t="s">
        <v>286</v>
      </c>
      <c r="G46" s="76">
        <v>2</v>
      </c>
      <c r="H46" s="76" t="s">
        <v>236</v>
      </c>
      <c r="I46" s="76" t="str">
        <f>CONCATENATE("T_","0",C46,"_0",E46,"_0",G46)</f>
        <v>T_02_06_02</v>
      </c>
      <c r="J46" s="76">
        <v>0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/>
      <c r="Q46" s="76"/>
      <c r="R46" s="76"/>
      <c r="S46" s="76"/>
      <c r="T46" s="76"/>
    </row>
    <row r="47" spans="1:20" ht="25" customHeight="1" x14ac:dyDescent="0.3">
      <c r="A47" s="76">
        <v>93</v>
      </c>
      <c r="B47" s="77" t="s">
        <v>254</v>
      </c>
      <c r="C47" s="76">
        <v>2</v>
      </c>
      <c r="D47" s="77" t="s">
        <v>285</v>
      </c>
      <c r="E47" s="76">
        <v>6</v>
      </c>
      <c r="F47" s="77" t="s">
        <v>288</v>
      </c>
      <c r="G47" s="76">
        <v>3</v>
      </c>
      <c r="H47" s="76" t="s">
        <v>236</v>
      </c>
      <c r="I47" s="76" t="str">
        <f>CONCATENATE("T_","0",C47,"_0",E47,"_0",G47)</f>
        <v>T_02_06_03</v>
      </c>
      <c r="J47" s="76">
        <v>0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/>
      <c r="Q47" s="76"/>
      <c r="R47" s="76"/>
      <c r="S47" s="76"/>
      <c r="T47" s="76"/>
    </row>
    <row r="48" spans="1:20" ht="25" customHeight="1" x14ac:dyDescent="0.3">
      <c r="A48" s="76">
        <v>92</v>
      </c>
      <c r="B48" s="77" t="s">
        <v>254</v>
      </c>
      <c r="C48" s="76">
        <v>2</v>
      </c>
      <c r="D48" s="77" t="s">
        <v>285</v>
      </c>
      <c r="E48" s="76">
        <v>6</v>
      </c>
      <c r="F48" s="77" t="s">
        <v>289</v>
      </c>
      <c r="G48" s="76">
        <v>4</v>
      </c>
      <c r="H48" s="76" t="s">
        <v>236</v>
      </c>
      <c r="I48" s="76" t="str">
        <f>CONCATENATE("T_","0",C48,"_0",E48,"_0",G48)</f>
        <v>T_02_06_04</v>
      </c>
      <c r="J48" s="76">
        <v>0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>
        <v>0</v>
      </c>
      <c r="Q48" s="76"/>
      <c r="R48" s="76"/>
      <c r="S48" s="76"/>
      <c r="T48" s="76"/>
    </row>
  </sheetData>
  <autoFilter ref="A2:T76" xr:uid="{00000000-0009-0000-0000-000000000000}">
    <sortState xmlns:xlrd2="http://schemas.microsoft.com/office/spreadsheetml/2017/richdata2" ref="A3:T48">
      <sortCondition ref="C2:C76"/>
    </sortState>
  </autoFilter>
  <mergeCells count="3">
    <mergeCell ref="Q1:T1"/>
    <mergeCell ref="H1:J1"/>
    <mergeCell ref="K1:P1"/>
  </mergeCells>
  <conditionalFormatting sqref="J3:T3">
    <cfRule type="iconSet" priority="3">
      <iconSet iconSet="3Symbols2" showValue="0">
        <cfvo type="percent" val="0"/>
        <cfvo type="num" val="0" gte="0"/>
        <cfvo type="num" val="1"/>
      </iconSet>
    </cfRule>
  </conditionalFormatting>
  <conditionalFormatting sqref="J26:T26 Q27:T29">
    <cfRule type="iconSet" priority="2">
      <iconSet iconSet="3Symbols2" showValue="0">
        <cfvo type="percent" val="0"/>
        <cfvo type="num" val="0" gte="0"/>
        <cfvo type="num" val="1"/>
      </iconSet>
    </cfRule>
  </conditionalFormatting>
  <conditionalFormatting sqref="J27:P29">
    <cfRule type="iconSet" priority="1">
      <iconSet iconSet="3Symbols2" showValue="0">
        <cfvo type="percent" val="0"/>
        <cfvo type="num" val="0" gte="0"/>
        <cfvo type="num" val="1"/>
      </iconSet>
    </cfRule>
  </conditionalFormatting>
  <conditionalFormatting sqref="J30:T48 J4:T25">
    <cfRule type="iconSet" priority="6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3984375" defaultRowHeight="15.5" outlineLevelCol="1" x14ac:dyDescent="0.3"/>
  <cols>
    <col min="1" max="1" width="4" style="25" customWidth="1"/>
    <col min="2" max="2" width="68.8984375" style="26" customWidth="1"/>
    <col min="3" max="3" width="7" style="2" bestFit="1" customWidth="1"/>
    <col min="4" max="4" width="21.296875" style="2" hidden="1" customWidth="1" outlineLevel="1"/>
    <col min="5" max="5" width="21.8984375" style="2" bestFit="1" customWidth="1" collapsed="1"/>
    <col min="6" max="16384" width="11.398437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x14ac:dyDescent="0.3">
      <c r="C26" s="21"/>
      <c r="D26" s="21"/>
      <c r="E26" s="21"/>
    </row>
    <row r="27" spans="1:5" x14ac:dyDescent="0.3">
      <c r="B27" s="33"/>
      <c r="C27" s="34"/>
      <c r="D27" s="34"/>
      <c r="E27" s="34"/>
    </row>
    <row r="28" spans="1:5" s="38" customFormat="1" ht="14" x14ac:dyDescent="0.3">
      <c r="A28" s="35"/>
      <c r="B28" s="36"/>
      <c r="C28" s="37"/>
      <c r="D28" s="37"/>
      <c r="E28" s="37"/>
    </row>
    <row r="29" spans="1:5" x14ac:dyDescent="0.3">
      <c r="B29" s="33"/>
      <c r="C29" s="34"/>
      <c r="D29" s="34"/>
      <c r="E29" s="34"/>
    </row>
    <row r="30" spans="1:5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3984375" defaultRowHeight="15.5" outlineLevelCol="1" x14ac:dyDescent="0.3"/>
  <cols>
    <col min="1" max="1" width="4" style="25" customWidth="1"/>
    <col min="2" max="2" width="57.296875" style="26" customWidth="1"/>
    <col min="3" max="3" width="9.8984375" style="2" customWidth="1"/>
    <col min="4" max="4" width="22.69921875" style="2" hidden="1" customWidth="1" outlineLevel="1"/>
    <col min="5" max="5" width="26" style="2" customWidth="1" collapsed="1"/>
    <col min="6" max="16384" width="11.398437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x14ac:dyDescent="0.3">
      <c r="A4" s="19"/>
      <c r="B4" s="20"/>
      <c r="C4" s="21"/>
      <c r="D4" s="21"/>
      <c r="E4" s="21"/>
    </row>
    <row r="5" spans="1:5" s="24" customFormat="1" ht="14" x14ac:dyDescent="0.3">
      <c r="A5" s="22"/>
      <c r="B5" s="23"/>
      <c r="C5" s="18"/>
      <c r="D5" s="18"/>
      <c r="E5" s="18"/>
    </row>
    <row r="6" spans="1:5" x14ac:dyDescent="0.3">
      <c r="E6" s="27"/>
    </row>
    <row r="10" spans="1:5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3984375" defaultRowHeight="15.5" outlineLevelCol="1" x14ac:dyDescent="0.3"/>
  <cols>
    <col min="1" max="1" width="4" style="25" customWidth="1"/>
    <col min="2" max="2" width="64.3984375" style="26" customWidth="1"/>
    <col min="3" max="3" width="7.8984375" style="2" customWidth="1"/>
    <col min="4" max="4" width="21.296875" style="2" hidden="1" customWidth="1" outlineLevel="1"/>
    <col min="5" max="5" width="25" style="2" customWidth="1" collapsed="1"/>
    <col min="6" max="6" width="16.09765625" style="2" bestFit="1" customWidth="1"/>
    <col min="7" max="7" width="18.296875" style="2" bestFit="1" customWidth="1"/>
    <col min="8" max="16384" width="11.398437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3984375" defaultRowHeight="15.5" outlineLevelCol="1" x14ac:dyDescent="0.3"/>
  <cols>
    <col min="1" max="1" width="5.09765625" style="25" customWidth="1"/>
    <col min="2" max="2" width="65.09765625" style="26" customWidth="1"/>
    <col min="3" max="3" width="4.59765625" style="2" customWidth="1"/>
    <col min="4" max="4" width="21.8984375" style="2" hidden="1" customWidth="1" outlineLevel="1"/>
    <col min="5" max="5" width="24.69921875" style="2" customWidth="1" collapsed="1"/>
    <col min="6" max="6" width="21.69921875" style="3" customWidth="1"/>
    <col min="7" max="16384" width="11.398437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5" outlineLevelCol="1" x14ac:dyDescent="0.3"/>
  <cols>
    <col min="1" max="1" width="4" style="25" customWidth="1"/>
    <col min="2" max="2" width="50.69921875" style="26" customWidth="1"/>
    <col min="3" max="3" width="8.296875" style="2" customWidth="1"/>
    <col min="4" max="4" width="21.8984375" style="2" customWidth="1" outlineLevel="1"/>
    <col min="5" max="5" width="27" style="2" customWidth="1"/>
    <col min="6" max="7" width="12.3984375" style="34" bestFit="1" customWidth="1"/>
    <col min="8" max="10792" width="11.3984375" style="34"/>
    <col min="10793" max="16384" width="11.398437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3984375" defaultRowHeight="15.5" outlineLevelCol="1" x14ac:dyDescent="0.3"/>
  <cols>
    <col min="1" max="1" width="6.09765625" style="25" customWidth="1"/>
    <col min="2" max="2" width="64.09765625" style="26" customWidth="1"/>
    <col min="3" max="3" width="8.296875" style="2" customWidth="1"/>
    <col min="4" max="4" width="19.59765625" style="2" hidden="1" customWidth="1" outlineLevel="1"/>
    <col min="5" max="5" width="23.3984375" style="2" customWidth="1" collapsed="1"/>
    <col min="6" max="16384" width="11.398437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61.59765625" style="26" bestFit="1" customWidth="1"/>
    <col min="3" max="3" width="8.296875" style="2" customWidth="1"/>
    <col min="4" max="4" width="17.296875" style="2" customWidth="1" outlineLevel="1"/>
    <col min="5" max="5" width="20.3984375" style="2" bestFit="1" customWidth="1"/>
    <col min="6" max="6" width="18.296875" style="2" bestFit="1" customWidth="1"/>
    <col min="7" max="16384" width="11.398437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85" t="s">
        <v>178</v>
      </c>
      <c r="B20" s="86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3" x14ac:dyDescent="0.3">
      <c r="B39" s="2"/>
    </row>
    <row r="40" spans="1:6" ht="13" x14ac:dyDescent="0.3">
      <c r="B40" s="2"/>
    </row>
    <row r="41" spans="1:6" ht="13" x14ac:dyDescent="0.3">
      <c r="B41" s="2"/>
    </row>
    <row r="42" spans="1:6" ht="13" x14ac:dyDescent="0.3">
      <c r="B42" s="2"/>
    </row>
    <row r="43" spans="1:6" ht="13" x14ac:dyDescent="0.3">
      <c r="B43" s="2"/>
    </row>
    <row r="44" spans="1:6" ht="13" x14ac:dyDescent="0.3">
      <c r="B44" s="2"/>
    </row>
    <row r="45" spans="1:6" ht="13" x14ac:dyDescent="0.3">
      <c r="B45" s="2"/>
    </row>
    <row r="46" spans="1:6" ht="13" x14ac:dyDescent="0.3">
      <c r="B46" s="2"/>
    </row>
    <row r="47" spans="1:6" s="1" customFormat="1" ht="13" x14ac:dyDescent="0.3">
      <c r="A47" s="25"/>
      <c r="B47" s="2"/>
      <c r="C47" s="2"/>
      <c r="D47" s="2"/>
      <c r="E47" s="2"/>
      <c r="F47" s="2"/>
    </row>
    <row r="48" spans="1:6" s="1" customFormat="1" ht="13" x14ac:dyDescent="0.3">
      <c r="A48" s="25"/>
      <c r="B48" s="2"/>
      <c r="C48" s="2"/>
      <c r="D48" s="2"/>
      <c r="E48" s="2"/>
      <c r="F48" s="2"/>
    </row>
    <row r="49" spans="1:6" s="1" customFormat="1" ht="13" x14ac:dyDescent="0.3">
      <c r="A49" s="25"/>
      <c r="B49" s="2"/>
      <c r="C49" s="2"/>
      <c r="D49" s="2"/>
      <c r="E49" s="2"/>
      <c r="F49" s="2"/>
    </row>
    <row r="50" spans="1:6" s="1" customFormat="1" ht="13" x14ac:dyDescent="0.3">
      <c r="A50" s="25"/>
      <c r="B50" s="2"/>
      <c r="C50" s="2"/>
      <c r="D50" s="2"/>
      <c r="E50" s="2"/>
      <c r="F50" s="2"/>
    </row>
    <row r="51" spans="1:6" s="1" customFormat="1" ht="13" x14ac:dyDescent="0.3">
      <c r="A51" s="25"/>
      <c r="B51" s="2"/>
      <c r="C51" s="2"/>
      <c r="D51" s="2"/>
      <c r="E51" s="2"/>
      <c r="F51" s="2"/>
    </row>
    <row r="52" spans="1:6" s="1" customFormat="1" ht="13" x14ac:dyDescent="0.3">
      <c r="A52" s="25"/>
      <c r="B52" s="2"/>
      <c r="C52" s="2"/>
      <c r="D52" s="2"/>
      <c r="E52" s="2"/>
      <c r="F52" s="2"/>
    </row>
    <row r="53" spans="1:6" s="1" customFormat="1" ht="13" x14ac:dyDescent="0.3">
      <c r="A53" s="25"/>
      <c r="B53" s="2"/>
      <c r="C53" s="2"/>
      <c r="D53" s="2"/>
      <c r="E53" s="2"/>
      <c r="F53" s="2"/>
    </row>
    <row r="54" spans="1:6" s="1" customFormat="1" ht="13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3984375" defaultRowHeight="15.5" outlineLevelCol="1" x14ac:dyDescent="0.3"/>
  <cols>
    <col min="1" max="1" width="3.3984375" style="25" bestFit="1" customWidth="1"/>
    <col min="2" max="2" width="68.09765625" style="26" customWidth="1"/>
    <col min="3" max="3" width="4.59765625" style="2" bestFit="1" customWidth="1"/>
    <col min="4" max="4" width="17.296875" style="2" hidden="1" customWidth="1" outlineLevel="1"/>
    <col min="5" max="5" width="22.09765625" style="2" customWidth="1" collapsed="1"/>
    <col min="6" max="6" width="25" style="2" customWidth="1"/>
    <col min="7" max="16384" width="11.3984375" style="2"/>
  </cols>
  <sheetData>
    <row r="1" spans="1:6" s="12" customFormat="1" ht="31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10</vt:i4>
      </vt:variant>
    </vt:vector>
  </HeadingPairs>
  <TitlesOfParts>
    <vt:vector size="21" baseType="lpstr">
      <vt:lpstr>HyFloAPI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2025-08-25T10:28:07Z</dcterms:created>
  <dcterms:modified xsi:type="dcterms:W3CDTF">2026-01-02T14:30:22Z</dcterms:modified>
</cp:coreProperties>
</file>